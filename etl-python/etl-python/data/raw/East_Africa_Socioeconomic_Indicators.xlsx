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2A5312-940F-4446-9A45-F4A98FFB5C64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Overview" sheetId="1" r:id="rId1"/>
    <sheet name="Data" sheetId="2" r:id="rId2"/>
    <sheet name="2023 Latest Snapshot" sheetId="3" r:id="rId3"/>
  </sheets>
  <definedNames>
    <definedName name="_xlnm._FilterDatabase" localSheetId="2" hidden="1">'2023 Latest Snapshot'!$A$2:$Y$21</definedName>
    <definedName name="_xlnm._FilterDatabase" localSheetId="1" hidden="1">Data!$A$2:$Z$78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3" l="1"/>
  <c r="Y21" i="3"/>
  <c r="X21" i="3"/>
  <c r="W21" i="3"/>
  <c r="V21" i="3"/>
  <c r="U21" i="3"/>
  <c r="T21" i="3"/>
  <c r="S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Y19" i="3"/>
  <c r="X19" i="3"/>
  <c r="W19" i="3"/>
  <c r="V19" i="3"/>
  <c r="U19" i="3"/>
  <c r="T19" i="3"/>
  <c r="S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Y18" i="3"/>
  <c r="X18" i="3"/>
  <c r="W18" i="3"/>
  <c r="V18" i="3"/>
  <c r="U18" i="3"/>
  <c r="T18" i="3"/>
  <c r="S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Y17" i="3"/>
  <c r="X17" i="3"/>
  <c r="W17" i="3"/>
  <c r="V17" i="3"/>
  <c r="U17" i="3"/>
  <c r="T17" i="3"/>
  <c r="Y16" i="3"/>
  <c r="X16" i="3"/>
  <c r="V16" i="3"/>
  <c r="U16" i="3"/>
  <c r="T16" i="3"/>
  <c r="S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Y15" i="3"/>
  <c r="X15" i="3"/>
  <c r="W15" i="3"/>
  <c r="V15" i="3"/>
  <c r="U15" i="3"/>
  <c r="T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F14" i="3"/>
  <c r="E14" i="3"/>
  <c r="D14" i="3"/>
  <c r="C14" i="3"/>
  <c r="B14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Y12" i="3"/>
  <c r="X12" i="3"/>
  <c r="W12" i="3"/>
  <c r="V12" i="3"/>
  <c r="U12" i="3"/>
  <c r="T12" i="3"/>
  <c r="S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Y11" i="3"/>
  <c r="X11" i="3"/>
  <c r="W11" i="3"/>
  <c r="V11" i="3"/>
  <c r="U11" i="3"/>
  <c r="T11" i="3"/>
  <c r="S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Y7" i="3"/>
  <c r="X7" i="3"/>
  <c r="W7" i="3"/>
  <c r="V7" i="3"/>
  <c r="U7" i="3"/>
  <c r="Y6" i="3"/>
  <c r="X6" i="3"/>
  <c r="W6" i="3"/>
  <c r="V6" i="3"/>
  <c r="U6" i="3"/>
  <c r="T6" i="3"/>
  <c r="S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Y4" i="3"/>
  <c r="X4" i="3"/>
  <c r="W4" i="3"/>
  <c r="V4" i="3"/>
  <c r="U4" i="3"/>
  <c r="T4" i="3"/>
  <c r="S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</calcChain>
</file>

<file path=xl/sharedStrings.xml><?xml version="1.0" encoding="utf-8"?>
<sst xmlns="http://schemas.openxmlformats.org/spreadsheetml/2006/main" count="238" uniqueCount="79">
  <si>
    <t>East African Countries — Socio-Economic Indicators</t>
  </si>
  <si>
    <t>Restructured from the original UIS Data Browser export you shared, using the WITS Kenya product workbook's flat-table layout as the structural guide.</t>
  </si>
  <si>
    <t>How this workbook is organized</t>
  </si>
  <si>
    <t>This file replaces the original page-by-page (A, B, C ...) layout with a single structured dataset, modeled on the flat, one-row-per-record layout used in the WITS Kenya product-trade workbook you shared: identifier columns (Country, Year) on the left, every measure as its own column to the right, grouped and color-coded by theme instead of split into separate lettered pages.</t>
  </si>
  <si>
    <t>Sheet</t>
  </si>
  <si>
    <t>Contents</t>
  </si>
  <si>
    <t>Data</t>
  </si>
  <si>
    <t>One row per country/year, with every indicator as its own column, grouped and color-banded by theme.</t>
  </si>
  <si>
    <t>Latest Snapshot</t>
  </si>
  <si>
    <t>One row per country with each indicator's most recently available value, pulled live from the Data sheet with formulas.</t>
  </si>
  <si>
    <t>Theme groupings</t>
  </si>
  <si>
    <t>Theme</t>
  </si>
  <si>
    <t>Indicators included</t>
  </si>
  <si>
    <t>Economic Output &amp; Growth</t>
  </si>
  <si>
    <t>GDP (current US$); GDP (current LCU); GDP growth (annual %); GDP, PPP (current international $); GDP at market prices (constant 2010 US$); GDP (constant LCU); GDP, PPP (constant 2011 international $); GDP deflator (base year varies by country)</t>
  </si>
  <si>
    <t>Income &amp; Living Standards (Per Capita)</t>
  </si>
  <si>
    <t>GDP per capita (current US$); GDP per capita (current LCU); GDP per capita, PPP (current international $); GDP per capita, PPP (constant 2011 international $); GNI per capita, Atlas method (current US$); GNI per capita, PPP (current international $); GNI per capita (current LCU); GNI (current LCU)</t>
  </si>
  <si>
    <t>Poverty</t>
  </si>
  <si>
    <t>Poverty headcount ratio at $3.20 a day (PPP) (% of population)</t>
  </si>
  <si>
    <t>Government Finance &amp; Debt</t>
  </si>
  <si>
    <t>Total debt service (% of GNI); General government total expenditure (current LCU)</t>
  </si>
  <si>
    <t>Prices, Exchange Rates &amp; PPP Conversion</t>
  </si>
  <si>
    <t>PPP conversion factor, GDP (LCU per international $); DEC alternative conversion factor (LCU per US$); Official exchange rate (LCU per US$, period average); Price level ratio of PPP conversion factor (GDP) to market exchange rate; PPP conversion factor, private consumption (LCU per international $)</t>
  </si>
  <si>
    <t>Data notes (carried over from the original source files)</t>
  </si>
  <si>
    <t>• Source: UIS Data Browser (databrowser.uis.unesco.org). Coverage varies by indicator; some countries (notably Eritrea and South Sudan) have little or no data for most indicators.</t>
  </si>
  <si>
    <t>• Most GDP/GNI-based indicators (Economic Output &amp; Growth and Income &amp; Living Standards groups) have data for 17 of 19 countries — Eritrea and South Sudan are blank throughout.</t>
  </si>
  <si>
    <t>• Total debt service has no data for Eritrea, Seychelles or South Sudan (16 of 19 countries).</t>
  </si>
  <si>
    <t>• Poverty headcount ratio at $3.20/day has data for only 8 of 19 countries, and each of those for only one or a few years — treat as spot estimates, not a time series.</t>
  </si>
  <si>
    <t>• Values shown in a country's own local currency unit ("current LCU" / "constant LCU" / LCU-denominated columns) are NOT comparable across countries — only across years within the same country.</t>
  </si>
  <si>
    <t>• Zimbabwe underwent extreme currency instability over this period; its LCU-denominated values and GDP deflator (e.g. deflator index rising from 704.95 in 2020 to 56,369.06 in 2023) reflect hyperinflation, not real economic growth.</t>
  </si>
  <si>
    <t>• Ethiopia's 2023 figures are missing from the source view for several indicators, including GDP (current US$), GDP per capita (current US$) and GNI per capita, Atlas method.</t>
  </si>
  <si>
    <t>• Official exchange rate has no data for Somalia (18 of 19 countries).</t>
  </si>
  <si>
    <t>• The four Prices, Exchange Rates &amp; PPP Conversion indicators are the only ones with at least partial data for all 19 countries; Eritrea and South Sudan's coverage there is limited to specific years only.</t>
  </si>
  <si>
    <t>• All blank cells reflect no data available in the original source, not a value of zero.</t>
  </si>
  <si>
    <t>Country</t>
  </si>
  <si>
    <t>Year</t>
  </si>
  <si>
    <t>GDP (current US$)</t>
  </si>
  <si>
    <t>GDP (current LCU)</t>
  </si>
  <si>
    <t>GDP growth (annual %)</t>
  </si>
  <si>
    <t>GDP, PPP (current international $)</t>
  </si>
  <si>
    <t>GDP at market prices (constant 2010 US$)</t>
  </si>
  <si>
    <t>GDP (constant LCU)</t>
  </si>
  <si>
    <t>GDP, PPP (constant 2011 international $)</t>
  </si>
  <si>
    <t>GDP deflator (base year varies by country)</t>
  </si>
  <si>
    <t>GDP per capita (current US$)</t>
  </si>
  <si>
    <t>GDP per capita (current LCU)</t>
  </si>
  <si>
    <t>GDP per capita, PPP (current international $)</t>
  </si>
  <si>
    <t>GDP per capita, PPP (constant 2011 international $)</t>
  </si>
  <si>
    <t>GNI per capita, Atlas method (current US$)</t>
  </si>
  <si>
    <t>GNI per capita, PPP (current international $)</t>
  </si>
  <si>
    <t>GNI per capita (current LCU)</t>
  </si>
  <si>
    <t>GNI (current LCU)</t>
  </si>
  <si>
    <t>Total debt service (% of GNI)</t>
  </si>
  <si>
    <t>General government total expenditure (current LCU)</t>
  </si>
  <si>
    <t>PPP conversion factor, GDP (LCU per international $)</t>
  </si>
  <si>
    <t>DEC alternative conversion factor (LCU per US$)</t>
  </si>
  <si>
    <t>Official exchange rate (LCU per US$, period average)</t>
  </si>
  <si>
    <t>Price level ratio of PPP conversion factor (GDP) to market exchange rate</t>
  </si>
  <si>
    <t>PPP conversion factor, private consumption (LCU per international $)</t>
  </si>
  <si>
    <t>Burundi</t>
  </si>
  <si>
    <t>Comoros</t>
  </si>
  <si>
    <t>Democratic Republic of the Congo</t>
  </si>
  <si>
    <t>Djibouti</t>
  </si>
  <si>
    <t>Eritrea</t>
  </si>
  <si>
    <t>Ethiopia</t>
  </si>
  <si>
    <t>Kenya</t>
  </si>
  <si>
    <t>Madagascar</t>
  </si>
  <si>
    <t>Malawi</t>
  </si>
  <si>
    <t>Mauritius</t>
  </si>
  <si>
    <t>Mozambique</t>
  </si>
  <si>
    <t>Rwanda</t>
  </si>
  <si>
    <t>Seychelles</t>
  </si>
  <si>
    <t>Somalia</t>
  </si>
  <si>
    <t>South Sudan</t>
  </si>
  <si>
    <t>Uganda</t>
  </si>
  <si>
    <t>United Republic of Tanzania</t>
  </si>
  <si>
    <t>Zambia</t>
  </si>
  <si>
    <t>Zimbabwe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</si>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</sst>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55555"/>
      <name val="Arial"/>
      <charset val="1"/>
    </font>
    <font>
      <b/>
      <sz val="12"/>
      <color rgb="FF1F4E78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b/>
      <sz val="9"/>
      <color rgb="FF1F4E78"/>
      <name val="Arial"/>
      <charset val="1"/>
    </font>
    <font>
      <b/>
      <sz val="9"/>
      <color rgb="FF375623"/>
      <name val="Arial"/>
      <charset val="1"/>
    </font>
    <font>
      <b/>
      <sz val="9"/>
      <color rgb="FF833C0C"/>
      <name val="Arial"/>
      <charset val="1"/>
    </font>
    <font>
      <b/>
      <sz val="9"/>
      <color rgb="FF5F3F80"/>
      <name val="Arial"/>
      <charset val="1"/>
    </font>
    <font>
      <b/>
      <sz val="9"/>
      <color rgb="FF9C0006"/>
      <name val="Arial"/>
      <charset val="1"/>
    </font>
    <font>
      <i/>
      <sz val="10"/>
      <color rgb="FF999999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4DFEC"/>
      </patternFill>
    </fill>
    <fill>
      <patternFill patternType="solid">
        <fgColor rgb="FFE4DFEC"/>
        <bgColor rgb="FFDDEBF7"/>
      </patternFill>
    </fill>
    <fill>
      <patternFill patternType="solid">
        <fgColor rgb="FFF8CBAD"/>
        <bgColor rgb="FFFCE4D6"/>
      </patternFill>
    </fill>
    <fill>
      <patternFill patternType="solid">
        <fgColor rgb="FF404040"/>
        <bgColor rgb="FF375623"/>
      </patternFill>
    </fill>
    <fill>
      <patternFill patternType="solid">
        <fgColor rgb="FF375623"/>
        <bgColor rgb="FF404040"/>
      </patternFill>
    </fill>
    <fill>
      <patternFill patternType="solid">
        <fgColor rgb="FF833C0C"/>
        <bgColor rgb="FF993366"/>
      </patternFill>
    </fill>
    <fill>
      <patternFill patternType="solid">
        <fgColor rgb="FF5F3F80"/>
        <bgColor rgb="FF555555"/>
      </patternFill>
    </fill>
    <fill>
      <patternFill patternType="solid">
        <fgColor rgb="FF9C0006"/>
        <bgColor rgb="FF800000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8" fillId="8" borderId="0" xfId="0" applyFont="1" applyFill="1"/>
    <xf numFmtId="0" fontId="8" fillId="1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5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8" fillId="10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0" fontId="11" fillId="5" borderId="1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center" wrapText="1"/>
    </xf>
    <xf numFmtId="0" fontId="13" fillId="7" borderId="1" xfId="0" applyFont="1" applyFill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3" fontId="4" fillId="0" borderId="1" xfId="0" applyNumberFormat="1" applyFont="1" applyBorder="1"/>
    <xf numFmtId="164" fontId="4" fillId="0" borderId="1" xfId="0" applyNumberFormat="1" applyFont="1" applyBorder="1"/>
    <xf numFmtId="2" fontId="4" fillId="0" borderId="1" xfId="0" applyNumberFormat="1" applyFont="1" applyBorder="1"/>
    <xf numFmtId="4" fontId="4" fillId="13" borderId="1" xfId="0" applyNumberFormat="1" applyFont="1" applyFill="1" applyBorder="1"/>
    <xf numFmtId="3" fontId="4" fillId="13" borderId="1" xfId="0" applyNumberFormat="1" applyFont="1" applyFill="1" applyBorder="1"/>
    <xf numFmtId="164" fontId="4" fillId="13" borderId="1" xfId="0" applyNumberFormat="1" applyFont="1" applyFill="1" applyBorder="1"/>
    <xf numFmtId="4" fontId="4" fillId="0" borderId="1" xfId="0" applyNumberFormat="1" applyFont="1" applyBorder="1"/>
    <xf numFmtId="0" fontId="14" fillId="0" borderId="1" xfId="0" applyFont="1" applyBorder="1" applyAlignment="1">
      <alignment horizontal="center"/>
    </xf>
    <xf numFmtId="0" fontId="14" fillId="1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5F3F80"/>
      <rgbColor rgb="FFF7F7F7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75623"/>
      <rgbColor rgb="FF833C0C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2" width="92" customWidth="1"/>
  </cols>
  <sheetData>
    <row r="1" spans="1:2" ht="30" customHeight="1" x14ac:dyDescent="0.3">
      <c r="A1" s="10" t="s">
        <v>0</v>
      </c>
      <c r="B1" s="10"/>
    </row>
    <row r="3" spans="1:2" x14ac:dyDescent="0.3">
      <c r="A3" s="9" t="s">
        <v>1</v>
      </c>
      <c r="B3" s="9"/>
    </row>
    <row r="5" spans="1:2" ht="15.6" x14ac:dyDescent="0.3">
      <c r="A5" s="11" t="s">
        <v>2</v>
      </c>
    </row>
    <row r="6" spans="1:2" ht="15" customHeight="1" x14ac:dyDescent="0.3">
      <c r="A6" s="8" t="s">
        <v>3</v>
      </c>
      <c r="B6" s="8"/>
    </row>
    <row r="7" spans="1:2" x14ac:dyDescent="0.3">
      <c r="A7" s="8"/>
      <c r="B7" s="8"/>
    </row>
    <row r="8" spans="1:2" x14ac:dyDescent="0.3">
      <c r="A8" s="8"/>
      <c r="B8" s="8"/>
    </row>
    <row r="10" spans="1:2" x14ac:dyDescent="0.3">
      <c r="A10" s="12" t="s">
        <v>4</v>
      </c>
      <c r="B10" s="12" t="s">
        <v>5</v>
      </c>
    </row>
    <row r="11" spans="1:2" ht="28.2" x14ac:dyDescent="0.3">
      <c r="A11" s="13" t="s">
        <v>6</v>
      </c>
      <c r="B11" s="14" t="s">
        <v>7</v>
      </c>
    </row>
    <row r="12" spans="1:2" ht="28.2" x14ac:dyDescent="0.3">
      <c r="A12" s="13" t="s">
        <v>8</v>
      </c>
      <c r="B12" s="14" t="s">
        <v>9</v>
      </c>
    </row>
    <row r="14" spans="1:2" ht="15.6" x14ac:dyDescent="0.3">
      <c r="A14" s="11" t="s">
        <v>10</v>
      </c>
    </row>
    <row r="15" spans="1:2" x14ac:dyDescent="0.3">
      <c r="A15" s="12" t="s">
        <v>11</v>
      </c>
      <c r="B15" s="12" t="s">
        <v>12</v>
      </c>
    </row>
    <row r="16" spans="1:2" ht="36" customHeight="1" x14ac:dyDescent="0.3">
      <c r="A16" s="15" t="s">
        <v>13</v>
      </c>
      <c r="B16" s="16" t="s">
        <v>14</v>
      </c>
    </row>
    <row r="17" spans="1:2" ht="48" customHeight="1" x14ac:dyDescent="0.3">
      <c r="A17" s="17" t="s">
        <v>15</v>
      </c>
      <c r="B17" s="16" t="s">
        <v>16</v>
      </c>
    </row>
    <row r="18" spans="1:2" ht="15" customHeight="1" x14ac:dyDescent="0.3">
      <c r="A18" s="18" t="s">
        <v>17</v>
      </c>
      <c r="B18" s="16" t="s">
        <v>18</v>
      </c>
    </row>
    <row r="19" spans="1:2" ht="15" customHeight="1" x14ac:dyDescent="0.3">
      <c r="A19" s="19" t="s">
        <v>19</v>
      </c>
      <c r="B19" s="16" t="s">
        <v>20</v>
      </c>
    </row>
    <row r="20" spans="1:2" ht="48" customHeight="1" x14ac:dyDescent="0.3">
      <c r="A20" s="20" t="s">
        <v>21</v>
      </c>
      <c r="B20" s="16" t="s">
        <v>22</v>
      </c>
    </row>
    <row r="22" spans="1:2" ht="15.6" x14ac:dyDescent="0.3">
      <c r="A22" s="11" t="s">
        <v>23</v>
      </c>
    </row>
    <row r="23" spans="1:2" ht="22.35" customHeight="1" x14ac:dyDescent="0.3">
      <c r="A23" s="7" t="s">
        <v>24</v>
      </c>
      <c r="B23" s="7"/>
    </row>
    <row r="24" spans="1:2" ht="22.35" customHeight="1" x14ac:dyDescent="0.3">
      <c r="A24" s="7" t="s">
        <v>25</v>
      </c>
      <c r="B24" s="7"/>
    </row>
    <row r="25" spans="1:2" ht="15" customHeight="1" x14ac:dyDescent="0.3">
      <c r="A25" s="7" t="s">
        <v>26</v>
      </c>
      <c r="B25" s="7"/>
    </row>
    <row r="26" spans="1:2" ht="15" customHeight="1" x14ac:dyDescent="0.3">
      <c r="A26" s="7" t="s">
        <v>27</v>
      </c>
      <c r="B26" s="7"/>
    </row>
    <row r="27" spans="1:2" ht="22.35" customHeight="1" x14ac:dyDescent="0.3">
      <c r="A27" s="7" t="s">
        <v>28</v>
      </c>
      <c r="B27" s="7"/>
    </row>
    <row r="28" spans="1:2" ht="22.35" customHeight="1" x14ac:dyDescent="0.3">
      <c r="A28" s="7" t="s">
        <v>29</v>
      </c>
      <c r="B28" s="7"/>
    </row>
    <row r="29" spans="1:2" ht="22.35" customHeight="1" x14ac:dyDescent="0.3">
      <c r="A29" s="7" t="s">
        <v>30</v>
      </c>
      <c r="B29" s="7"/>
    </row>
    <row r="30" spans="1:2" ht="15" customHeight="1" x14ac:dyDescent="0.3">
      <c r="A30" s="7" t="s">
        <v>31</v>
      </c>
      <c r="B30" s="7"/>
    </row>
    <row r="31" spans="1:2" ht="22.35" customHeight="1" x14ac:dyDescent="0.3">
      <c r="A31" s="7" t="s">
        <v>32</v>
      </c>
      <c r="B31" s="7"/>
    </row>
    <row r="32" spans="1:2" ht="15" customHeight="1" x14ac:dyDescent="0.3">
      <c r="A32" s="7" t="s">
        <v>33</v>
      </c>
      <c r="B32" s="7"/>
    </row>
  </sheetData>
  <mergeCells count="13">
    <mergeCell ref="A30:B30"/>
    <mergeCell ref="A31:B31"/>
    <mergeCell ref="A32:B32"/>
    <mergeCell ref="A25:B25"/>
    <mergeCell ref="A26:B26"/>
    <mergeCell ref="A27:B27"/>
    <mergeCell ref="A28:B28"/>
    <mergeCell ref="A29:B29"/>
    <mergeCell ref="A1:B1"/>
    <mergeCell ref="A3:B3"/>
    <mergeCell ref="A6:B8"/>
    <mergeCell ref="A23:B23"/>
    <mergeCell ref="A24:B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8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6640625" defaultRowHeight="14.4" x14ac:dyDescent="0.3"/>
  <cols>
    <col min="1" max="1" width="30" customWidth="1"/>
    <col min="2" max="2" width="9" customWidth="1"/>
    <col min="3" max="26" width="16" customWidth="1"/>
  </cols>
  <sheetData>
    <row r="1" spans="1:26" ht="21.75" customHeight="1" x14ac:dyDescent="0.3">
      <c r="A1" s="6" t="s">
        <v>34</v>
      </c>
      <c r="B1" s="6" t="s">
        <v>35</v>
      </c>
      <c r="C1" s="5" t="s">
        <v>13</v>
      </c>
      <c r="D1" s="5"/>
      <c r="E1" s="5"/>
      <c r="F1" s="5"/>
      <c r="G1" s="5"/>
      <c r="H1" s="5"/>
      <c r="I1" s="5"/>
      <c r="J1" s="5"/>
      <c r="K1" s="4" t="s">
        <v>15</v>
      </c>
      <c r="L1" s="4"/>
      <c r="M1" s="4"/>
      <c r="N1" s="4"/>
      <c r="O1" s="4"/>
      <c r="P1" s="4"/>
      <c r="Q1" s="4"/>
      <c r="R1" s="4"/>
      <c r="S1" s="21" t="s">
        <v>17</v>
      </c>
      <c r="T1" s="3" t="s">
        <v>19</v>
      </c>
      <c r="U1" s="3"/>
      <c r="V1" s="2" t="s">
        <v>21</v>
      </c>
      <c r="W1" s="2"/>
      <c r="X1" s="2"/>
      <c r="Y1" s="2"/>
      <c r="Z1" s="2"/>
    </row>
    <row r="2" spans="1:26" ht="48" customHeight="1" x14ac:dyDescent="0.3">
      <c r="A2" s="6"/>
      <c r="B2" s="6"/>
      <c r="C2" s="22" t="s">
        <v>36</v>
      </c>
      <c r="D2" s="22" t="s">
        <v>37</v>
      </c>
      <c r="E2" s="22" t="s">
        <v>38</v>
      </c>
      <c r="F2" s="22" t="s">
        <v>39</v>
      </c>
      <c r="G2" s="22" t="s">
        <v>40</v>
      </c>
      <c r="H2" s="22" t="s">
        <v>41</v>
      </c>
      <c r="I2" s="22" t="s">
        <v>42</v>
      </c>
      <c r="J2" s="22" t="s">
        <v>43</v>
      </c>
      <c r="K2" s="23" t="s">
        <v>44</v>
      </c>
      <c r="L2" s="23" t="s">
        <v>45</v>
      </c>
      <c r="M2" s="23" t="s">
        <v>46</v>
      </c>
      <c r="N2" s="23" t="s">
        <v>47</v>
      </c>
      <c r="O2" s="23" t="s">
        <v>48</v>
      </c>
      <c r="P2" s="23" t="s">
        <v>49</v>
      </c>
      <c r="Q2" s="23" t="s">
        <v>50</v>
      </c>
      <c r="R2" s="23" t="s">
        <v>51</v>
      </c>
      <c r="S2" s="24" t="s">
        <v>18</v>
      </c>
      <c r="T2" s="25" t="s">
        <v>52</v>
      </c>
      <c r="U2" s="25" t="s">
        <v>53</v>
      </c>
      <c r="V2" s="26" t="s">
        <v>54</v>
      </c>
      <c r="W2" s="26" t="s">
        <v>55</v>
      </c>
      <c r="X2" s="26" t="s">
        <v>56</v>
      </c>
      <c r="Y2" s="26" t="s">
        <v>57</v>
      </c>
      <c r="Z2" s="26" t="s">
        <v>58</v>
      </c>
    </row>
    <row r="3" spans="1:26" x14ac:dyDescent="0.3">
      <c r="A3" s="27" t="s">
        <v>59</v>
      </c>
      <c r="B3" s="28">
        <v>2020</v>
      </c>
      <c r="C3" s="29">
        <v>2649680261</v>
      </c>
      <c r="D3" s="29">
        <v>5910570000000</v>
      </c>
      <c r="E3" s="30">
        <v>0.33</v>
      </c>
      <c r="F3" s="29">
        <v>9923498550</v>
      </c>
      <c r="G3" s="29">
        <v>3218331065</v>
      </c>
      <c r="H3" s="29">
        <v>1785540000000</v>
      </c>
      <c r="I3" s="29">
        <v>10521601909</v>
      </c>
      <c r="J3" s="31">
        <v>331.02</v>
      </c>
      <c r="K3" s="32">
        <v>210.01</v>
      </c>
      <c r="L3" s="32">
        <v>468459.71</v>
      </c>
      <c r="M3" s="32">
        <v>786.52</v>
      </c>
      <c r="N3" s="32">
        <v>833.92</v>
      </c>
      <c r="O3" s="32">
        <v>210</v>
      </c>
      <c r="P3" s="32">
        <v>790</v>
      </c>
      <c r="Q3" s="32">
        <v>471031.21</v>
      </c>
      <c r="R3" s="33">
        <v>5943020000000</v>
      </c>
      <c r="S3" s="30">
        <v>87.2</v>
      </c>
      <c r="T3" s="34">
        <v>1.38</v>
      </c>
      <c r="U3" s="33">
        <v>1725699000000</v>
      </c>
      <c r="V3" s="35">
        <v>595.61</v>
      </c>
      <c r="W3" s="35">
        <v>2230.67</v>
      </c>
      <c r="X3" s="35">
        <v>1915.05</v>
      </c>
      <c r="Y3" s="31">
        <v>0.27</v>
      </c>
      <c r="Z3" s="35">
        <v>633.88</v>
      </c>
    </row>
    <row r="4" spans="1:26" x14ac:dyDescent="0.3">
      <c r="A4" s="27" t="s">
        <v>59</v>
      </c>
      <c r="B4" s="28">
        <v>2021</v>
      </c>
      <c r="C4" s="29">
        <v>2775798697</v>
      </c>
      <c r="D4" s="29">
        <v>6612790000000</v>
      </c>
      <c r="E4" s="30">
        <v>3.1</v>
      </c>
      <c r="F4" s="29">
        <v>10847771569</v>
      </c>
      <c r="G4" s="29">
        <v>3318099328</v>
      </c>
      <c r="H4" s="29">
        <v>1840890000000</v>
      </c>
      <c r="I4" s="29">
        <v>10847771569</v>
      </c>
      <c r="J4" s="31">
        <v>359.22</v>
      </c>
      <c r="K4" s="32">
        <v>214.09</v>
      </c>
      <c r="L4" s="32">
        <v>510030.65</v>
      </c>
      <c r="M4" s="32">
        <v>836.67</v>
      </c>
      <c r="N4" s="32">
        <v>836.67</v>
      </c>
      <c r="O4" s="32">
        <v>220</v>
      </c>
      <c r="P4" s="32">
        <v>840</v>
      </c>
      <c r="Q4" s="32">
        <v>511522</v>
      </c>
      <c r="R4" s="33">
        <v>6632130000000</v>
      </c>
      <c r="S4" s="30"/>
      <c r="T4" s="34">
        <v>1.07</v>
      </c>
      <c r="U4" s="33">
        <v>1880152000000</v>
      </c>
      <c r="V4" s="35">
        <v>609.6</v>
      </c>
      <c r="W4" s="35">
        <v>2382.3000000000002</v>
      </c>
      <c r="X4" s="35">
        <v>1975.95</v>
      </c>
      <c r="Y4" s="31">
        <v>0.26</v>
      </c>
      <c r="Z4" s="35">
        <v>657.41</v>
      </c>
    </row>
    <row r="5" spans="1:26" x14ac:dyDescent="0.3">
      <c r="A5" s="27" t="s">
        <v>59</v>
      </c>
      <c r="B5" s="28">
        <v>2022</v>
      </c>
      <c r="C5" s="29">
        <v>3338722828</v>
      </c>
      <c r="D5" s="29">
        <v>7969720000000</v>
      </c>
      <c r="E5" s="30">
        <v>1.85</v>
      </c>
      <c r="F5" s="29">
        <v>11836036574</v>
      </c>
      <c r="G5" s="29">
        <v>3379450966</v>
      </c>
      <c r="H5" s="29">
        <v>1874930000000</v>
      </c>
      <c r="I5" s="29">
        <v>11048346804</v>
      </c>
      <c r="J5" s="31">
        <v>425.07</v>
      </c>
      <c r="K5" s="32">
        <v>250.63</v>
      </c>
      <c r="L5" s="32">
        <v>598277.77</v>
      </c>
      <c r="M5" s="32">
        <v>888.52</v>
      </c>
      <c r="N5" s="32">
        <v>829.39</v>
      </c>
      <c r="O5" s="32">
        <v>230</v>
      </c>
      <c r="P5" s="32">
        <v>890</v>
      </c>
      <c r="Q5" s="32">
        <v>600784.07999999996</v>
      </c>
      <c r="R5" s="33">
        <v>8003100000000</v>
      </c>
      <c r="S5" s="30"/>
      <c r="T5" s="34">
        <v>0.99</v>
      </c>
      <c r="U5" s="33">
        <v>2673964000000</v>
      </c>
      <c r="V5" s="35">
        <v>673.34</v>
      </c>
      <c r="W5" s="35">
        <v>2387.06</v>
      </c>
      <c r="X5" s="35">
        <v>2034.31</v>
      </c>
      <c r="Y5" s="31">
        <v>0.28000000000000003</v>
      </c>
      <c r="Z5" s="35">
        <v>723.14</v>
      </c>
    </row>
    <row r="6" spans="1:26" x14ac:dyDescent="0.3">
      <c r="A6" s="27" t="s">
        <v>59</v>
      </c>
      <c r="B6" s="28">
        <v>2023</v>
      </c>
      <c r="C6" s="29">
        <v>2629391600</v>
      </c>
      <c r="D6" s="29">
        <v>9071960000000</v>
      </c>
      <c r="E6" s="30">
        <v>2.67</v>
      </c>
      <c r="F6" s="29">
        <v>12588790451</v>
      </c>
      <c r="G6" s="29">
        <v>3469531570</v>
      </c>
      <c r="H6" s="29">
        <v>1924910000000</v>
      </c>
      <c r="I6" s="29">
        <v>11342844864</v>
      </c>
      <c r="J6" s="31">
        <v>471.29</v>
      </c>
      <c r="K6" s="32">
        <v>192.07</v>
      </c>
      <c r="L6" s="32">
        <v>662696.88</v>
      </c>
      <c r="M6" s="32">
        <v>919.6</v>
      </c>
      <c r="N6" s="32">
        <v>828.58</v>
      </c>
      <c r="O6" s="32">
        <v>220</v>
      </c>
      <c r="P6" s="32">
        <v>930</v>
      </c>
      <c r="Q6" s="32">
        <v>667377.91</v>
      </c>
      <c r="R6" s="33">
        <v>9136040000000</v>
      </c>
      <c r="S6" s="30"/>
      <c r="T6" s="34">
        <v>1.68</v>
      </c>
      <c r="U6" s="33">
        <v>3101347000000</v>
      </c>
      <c r="V6" s="35">
        <v>720.64</v>
      </c>
      <c r="W6" s="35">
        <v>3450.21</v>
      </c>
      <c r="X6" s="35">
        <v>2574.0500000000002</v>
      </c>
      <c r="Y6" s="31">
        <v>0.21</v>
      </c>
      <c r="Z6" s="35">
        <v>881.67</v>
      </c>
    </row>
    <row r="7" spans="1:26" x14ac:dyDescent="0.3">
      <c r="A7" s="27" t="s">
        <v>60</v>
      </c>
      <c r="B7" s="28">
        <v>2020</v>
      </c>
      <c r="C7" s="29">
        <v>1225039196</v>
      </c>
      <c r="D7" s="29">
        <v>527650000000</v>
      </c>
      <c r="E7" s="30">
        <v>4.01</v>
      </c>
      <c r="F7" s="29">
        <v>2616330804</v>
      </c>
      <c r="G7" s="29">
        <v>1175888998</v>
      </c>
      <c r="H7" s="29">
        <v>524140000000</v>
      </c>
      <c r="I7" s="29">
        <v>2747039030</v>
      </c>
      <c r="J7" s="31">
        <v>100.67</v>
      </c>
      <c r="K7" s="32">
        <v>1527.17</v>
      </c>
      <c r="L7" s="32">
        <v>657784.02</v>
      </c>
      <c r="M7" s="32">
        <v>3261.59</v>
      </c>
      <c r="N7" s="32">
        <v>3424.54</v>
      </c>
      <c r="O7" s="32">
        <v>1580</v>
      </c>
      <c r="P7" s="32">
        <v>3280</v>
      </c>
      <c r="Q7" s="32">
        <v>660956.9</v>
      </c>
      <c r="R7" s="33">
        <v>530195000000</v>
      </c>
      <c r="S7" s="30"/>
      <c r="T7" s="34">
        <v>0.88</v>
      </c>
      <c r="U7" s="33">
        <v>98517000000</v>
      </c>
      <c r="V7" s="35">
        <v>201.68</v>
      </c>
      <c r="W7" s="35">
        <v>430.72</v>
      </c>
      <c r="X7" s="35">
        <v>430.72</v>
      </c>
      <c r="Y7" s="31">
        <v>0.47</v>
      </c>
      <c r="Z7" s="35">
        <v>233.77</v>
      </c>
    </row>
    <row r="8" spans="1:26" x14ac:dyDescent="0.3">
      <c r="A8" s="27" t="s">
        <v>60</v>
      </c>
      <c r="B8" s="28">
        <v>2021</v>
      </c>
      <c r="C8" s="29">
        <v>1299039312</v>
      </c>
      <c r="D8" s="29">
        <v>540343000000</v>
      </c>
      <c r="E8" s="30">
        <v>2.73</v>
      </c>
      <c r="F8" s="29">
        <v>2821917778</v>
      </c>
      <c r="G8" s="29">
        <v>1207941362</v>
      </c>
      <c r="H8" s="29">
        <v>538427000000</v>
      </c>
      <c r="I8" s="29">
        <v>2821917778</v>
      </c>
      <c r="J8" s="31">
        <v>100.36</v>
      </c>
      <c r="K8" s="32">
        <v>1587.73</v>
      </c>
      <c r="L8" s="32">
        <v>660425.53</v>
      </c>
      <c r="M8" s="32">
        <v>3449.04</v>
      </c>
      <c r="N8" s="32">
        <v>3449.04</v>
      </c>
      <c r="O8" s="32">
        <v>1620</v>
      </c>
      <c r="P8" s="32">
        <v>3470</v>
      </c>
      <c r="Q8" s="32">
        <v>663626.35</v>
      </c>
      <c r="R8" s="33">
        <v>542962000000</v>
      </c>
      <c r="S8" s="30"/>
      <c r="T8" s="34">
        <v>0.27</v>
      </c>
      <c r="U8" s="33">
        <v>105583000000</v>
      </c>
      <c r="V8" s="35">
        <v>191.48</v>
      </c>
      <c r="W8" s="35">
        <v>415.96</v>
      </c>
      <c r="X8" s="35">
        <v>415.96</v>
      </c>
      <c r="Y8" s="31">
        <v>0.46</v>
      </c>
      <c r="Z8" s="35">
        <v>228.05</v>
      </c>
    </row>
    <row r="9" spans="1:26" x14ac:dyDescent="0.3">
      <c r="A9" s="27" t="s">
        <v>60</v>
      </c>
      <c r="B9" s="28">
        <v>2022</v>
      </c>
      <c r="C9" s="29">
        <v>1279542248</v>
      </c>
      <c r="D9" s="29">
        <v>597782000000</v>
      </c>
      <c r="E9" s="30">
        <v>2.82</v>
      </c>
      <c r="F9" s="29">
        <v>3108308932</v>
      </c>
      <c r="G9" s="29">
        <v>1241985921</v>
      </c>
      <c r="H9" s="29">
        <v>553602000000</v>
      </c>
      <c r="I9" s="29">
        <v>2901450569</v>
      </c>
      <c r="J9" s="31">
        <v>107.98</v>
      </c>
      <c r="K9" s="32">
        <v>1533.88</v>
      </c>
      <c r="L9" s="32">
        <v>716603.45</v>
      </c>
      <c r="M9" s="32">
        <v>3726.15</v>
      </c>
      <c r="N9" s="32">
        <v>3478.17</v>
      </c>
      <c r="O9" s="32">
        <v>1640</v>
      </c>
      <c r="P9" s="32">
        <v>3750</v>
      </c>
      <c r="Q9" s="32">
        <v>720305.04</v>
      </c>
      <c r="R9" s="33">
        <v>600870000000</v>
      </c>
      <c r="S9" s="30"/>
      <c r="T9" s="34">
        <v>0.38</v>
      </c>
      <c r="U9" s="33">
        <v>105309000000</v>
      </c>
      <c r="V9" s="35">
        <v>192.32</v>
      </c>
      <c r="W9" s="35">
        <v>467.18</v>
      </c>
      <c r="X9" s="35">
        <v>467.18</v>
      </c>
      <c r="Y9" s="31">
        <v>0.41</v>
      </c>
      <c r="Z9" s="35"/>
    </row>
    <row r="10" spans="1:26" x14ac:dyDescent="0.3">
      <c r="A10" s="27" t="s">
        <v>60</v>
      </c>
      <c r="B10" s="28">
        <v>2023</v>
      </c>
      <c r="C10" s="29">
        <v>1430523436</v>
      </c>
      <c r="D10" s="29">
        <v>650876000000</v>
      </c>
      <c r="E10" s="30">
        <v>3.06</v>
      </c>
      <c r="F10" s="29">
        <v>3318845024</v>
      </c>
      <c r="G10" s="29">
        <v>1280048597</v>
      </c>
      <c r="H10" s="29">
        <v>570568000000</v>
      </c>
      <c r="I10" s="29">
        <v>2990370233</v>
      </c>
      <c r="J10" s="31">
        <v>114.08</v>
      </c>
      <c r="K10" s="32">
        <v>1682.2</v>
      </c>
      <c r="L10" s="32">
        <v>765387.56</v>
      </c>
      <c r="M10" s="32">
        <v>3902.75</v>
      </c>
      <c r="N10" s="32">
        <v>3516.48</v>
      </c>
      <c r="O10" s="32">
        <v>1660</v>
      </c>
      <c r="P10" s="32">
        <v>3920</v>
      </c>
      <c r="Q10" s="32">
        <v>769337.84</v>
      </c>
      <c r="R10" s="33">
        <v>654235000000</v>
      </c>
      <c r="S10" s="30"/>
      <c r="T10" s="34">
        <v>1.31</v>
      </c>
      <c r="U10" s="33">
        <v>107878000000</v>
      </c>
      <c r="V10" s="35">
        <v>196.12</v>
      </c>
      <c r="W10" s="35">
        <v>454.99</v>
      </c>
      <c r="X10" s="35">
        <v>454.99</v>
      </c>
      <c r="Y10" s="31">
        <v>0.43</v>
      </c>
      <c r="Z10" s="35"/>
    </row>
    <row r="11" spans="1:26" x14ac:dyDescent="0.3">
      <c r="A11" s="27" t="s">
        <v>61</v>
      </c>
      <c r="B11" s="28">
        <v>2020</v>
      </c>
      <c r="C11" s="29">
        <v>48716961860</v>
      </c>
      <c r="D11" s="29">
        <v>90181000000000</v>
      </c>
      <c r="E11" s="30">
        <v>1.74</v>
      </c>
      <c r="F11" s="29">
        <v>109045000000</v>
      </c>
      <c r="G11" s="29">
        <v>45259708654</v>
      </c>
      <c r="H11" s="29">
        <v>128803000000000</v>
      </c>
      <c r="I11" s="29">
        <v>122640000000</v>
      </c>
      <c r="J11" s="31">
        <v>700.15</v>
      </c>
      <c r="K11" s="32">
        <v>507.52</v>
      </c>
      <c r="L11" s="32">
        <v>939483.8</v>
      </c>
      <c r="M11" s="32">
        <v>1136.01</v>
      </c>
      <c r="N11" s="32">
        <v>1277.6300000000001</v>
      </c>
      <c r="O11" s="32">
        <v>520</v>
      </c>
      <c r="P11" s="32">
        <v>1110</v>
      </c>
      <c r="Q11" s="32">
        <v>915031.97</v>
      </c>
      <c r="R11" s="33">
        <v>87833900000000</v>
      </c>
      <c r="S11" s="30">
        <v>92.5</v>
      </c>
      <c r="T11" s="34">
        <v>0.56999999999999995</v>
      </c>
      <c r="U11" s="33">
        <v>11656620000000</v>
      </c>
      <c r="V11" s="35">
        <v>827</v>
      </c>
      <c r="W11" s="35">
        <v>1851.12</v>
      </c>
      <c r="X11" s="35">
        <v>1851.12</v>
      </c>
      <c r="Y11" s="31">
        <v>0.45</v>
      </c>
      <c r="Z11" s="35">
        <v>885.97</v>
      </c>
    </row>
    <row r="12" spans="1:26" x14ac:dyDescent="0.3">
      <c r="A12" s="27" t="s">
        <v>61</v>
      </c>
      <c r="B12" s="28">
        <v>2021</v>
      </c>
      <c r="C12" s="29">
        <v>55328482784</v>
      </c>
      <c r="D12" s="29">
        <v>110115000000000</v>
      </c>
      <c r="E12" s="30">
        <v>6.2</v>
      </c>
      <c r="F12" s="29">
        <v>130244000000</v>
      </c>
      <c r="G12" s="29">
        <v>48065880295</v>
      </c>
      <c r="H12" s="29">
        <v>137689000000000</v>
      </c>
      <c r="I12" s="29">
        <v>130244000000</v>
      </c>
      <c r="J12" s="31">
        <v>805</v>
      </c>
      <c r="K12" s="32">
        <v>558.03</v>
      </c>
      <c r="L12" s="32">
        <v>1110599.42</v>
      </c>
      <c r="M12" s="32">
        <v>1313.62</v>
      </c>
      <c r="N12" s="32">
        <v>1313.62</v>
      </c>
      <c r="O12" s="32">
        <v>540</v>
      </c>
      <c r="P12" s="32">
        <v>1270</v>
      </c>
      <c r="Q12" s="32">
        <v>1070654.48</v>
      </c>
      <c r="R12" s="33">
        <v>106154000000000</v>
      </c>
      <c r="S12" s="30"/>
      <c r="T12" s="34">
        <v>0.6</v>
      </c>
      <c r="U12" s="33">
        <v>15892293000000</v>
      </c>
      <c r="V12" s="35">
        <v>845.45</v>
      </c>
      <c r="W12" s="35">
        <v>1990.2</v>
      </c>
      <c r="X12" s="35">
        <v>1989.39</v>
      </c>
      <c r="Y12" s="31">
        <v>0.42</v>
      </c>
      <c r="Z12" s="35">
        <v>928.6</v>
      </c>
    </row>
    <row r="13" spans="1:26" x14ac:dyDescent="0.3">
      <c r="A13" s="27" t="s">
        <v>61</v>
      </c>
      <c r="B13" s="28">
        <v>2022</v>
      </c>
      <c r="C13" s="29">
        <v>65801547756</v>
      </c>
      <c r="D13" s="29">
        <v>132064000000000</v>
      </c>
      <c r="E13" s="30">
        <v>8.92</v>
      </c>
      <c r="F13" s="29">
        <v>151982000000</v>
      </c>
      <c r="G13" s="29">
        <v>52355494716</v>
      </c>
      <c r="H13" s="29">
        <v>148997000000000</v>
      </c>
      <c r="I13" s="29">
        <v>141867000000</v>
      </c>
      <c r="J13" s="31">
        <v>886.35</v>
      </c>
      <c r="K13" s="32">
        <v>642.61</v>
      </c>
      <c r="L13" s="32">
        <v>1289722.82</v>
      </c>
      <c r="M13" s="32">
        <v>1484.24</v>
      </c>
      <c r="N13" s="32">
        <v>1385.46</v>
      </c>
      <c r="O13" s="32">
        <v>590</v>
      </c>
      <c r="P13" s="32">
        <v>1400</v>
      </c>
      <c r="Q13" s="32">
        <v>1220786.3400000001</v>
      </c>
      <c r="R13" s="33">
        <v>125005000000000</v>
      </c>
      <c r="S13" s="30"/>
      <c r="T13" s="34">
        <v>0.62</v>
      </c>
      <c r="U13" s="33">
        <v>24274559000000</v>
      </c>
      <c r="V13" s="35">
        <v>868.94</v>
      </c>
      <c r="W13" s="35">
        <v>2007</v>
      </c>
      <c r="X13" s="35">
        <v>2006.71</v>
      </c>
      <c r="Y13" s="31">
        <v>0.43</v>
      </c>
      <c r="Z13" s="35"/>
    </row>
    <row r="14" spans="1:26" x14ac:dyDescent="0.3">
      <c r="A14" s="27" t="s">
        <v>61</v>
      </c>
      <c r="B14" s="28">
        <v>2023</v>
      </c>
      <c r="C14" s="29">
        <v>67006756666</v>
      </c>
      <c r="D14" s="29">
        <v>163777000000000</v>
      </c>
      <c r="E14" s="30">
        <v>8.61</v>
      </c>
      <c r="F14" s="29">
        <v>171006000000</v>
      </c>
      <c r="G14" s="29">
        <v>56862826231</v>
      </c>
      <c r="H14" s="29">
        <v>161824000000000</v>
      </c>
      <c r="I14" s="29">
        <v>154081000000</v>
      </c>
      <c r="J14" s="31">
        <v>1012.07</v>
      </c>
      <c r="K14" s="32">
        <v>633.4</v>
      </c>
      <c r="L14" s="32">
        <v>1548140.57</v>
      </c>
      <c r="M14" s="32">
        <v>1616.47</v>
      </c>
      <c r="N14" s="32">
        <v>1456.48</v>
      </c>
      <c r="O14" s="32">
        <v>640</v>
      </c>
      <c r="P14" s="32">
        <v>1570</v>
      </c>
      <c r="Q14" s="32">
        <v>1499737.02</v>
      </c>
      <c r="R14" s="33">
        <v>158657000000000</v>
      </c>
      <c r="S14" s="30"/>
      <c r="T14" s="34">
        <v>0.76</v>
      </c>
      <c r="U14" s="33">
        <v>27144749000000</v>
      </c>
      <c r="V14" s="35">
        <v>957.73</v>
      </c>
      <c r="W14" s="35">
        <v>2444.19</v>
      </c>
      <c r="X14" s="35">
        <v>2340.04</v>
      </c>
      <c r="Y14" s="31">
        <v>0.39</v>
      </c>
      <c r="Z14" s="35"/>
    </row>
    <row r="15" spans="1:26" x14ac:dyDescent="0.3">
      <c r="A15" s="27" t="s">
        <v>62</v>
      </c>
      <c r="B15" s="28">
        <v>2020</v>
      </c>
      <c r="C15" s="29">
        <v>3144136197</v>
      </c>
      <c r="D15" s="29">
        <v>558779000000</v>
      </c>
      <c r="E15" s="30">
        <v>1.2</v>
      </c>
      <c r="F15" s="29">
        <v>6108376123</v>
      </c>
      <c r="G15" s="29">
        <v>3065135713</v>
      </c>
      <c r="H15" s="29">
        <v>528400000000</v>
      </c>
      <c r="I15" s="29">
        <v>6400671631</v>
      </c>
      <c r="J15" s="31">
        <v>105.75</v>
      </c>
      <c r="K15" s="32">
        <v>2844.89</v>
      </c>
      <c r="L15" s="32">
        <v>505596.36</v>
      </c>
      <c r="M15" s="32">
        <v>5527</v>
      </c>
      <c r="N15" s="32">
        <v>5791.48</v>
      </c>
      <c r="O15" s="32">
        <v>2780</v>
      </c>
      <c r="P15" s="32">
        <v>5350</v>
      </c>
      <c r="Q15" s="32">
        <v>489745.84</v>
      </c>
      <c r="R15" s="33">
        <v>541261000000</v>
      </c>
      <c r="S15" s="30"/>
      <c r="T15" s="34">
        <v>2.33</v>
      </c>
      <c r="U15" s="33">
        <v>144139000000</v>
      </c>
      <c r="V15" s="35">
        <v>91.48</v>
      </c>
      <c r="W15" s="35">
        <v>177.72</v>
      </c>
      <c r="X15" s="35">
        <v>177.72</v>
      </c>
      <c r="Y15" s="31">
        <v>0.51</v>
      </c>
      <c r="Z15" s="35">
        <v>100.04</v>
      </c>
    </row>
    <row r="16" spans="1:26" x14ac:dyDescent="0.3">
      <c r="A16" s="27" t="s">
        <v>62</v>
      </c>
      <c r="B16" s="28">
        <v>2021</v>
      </c>
      <c r="C16" s="29">
        <v>3392796953</v>
      </c>
      <c r="D16" s="29">
        <v>602971000000</v>
      </c>
      <c r="E16" s="30">
        <v>4.41</v>
      </c>
      <c r="F16" s="29">
        <v>6682759258</v>
      </c>
      <c r="G16" s="29">
        <v>3200221046</v>
      </c>
      <c r="H16" s="29">
        <v>551687000000</v>
      </c>
      <c r="I16" s="29">
        <v>6682759258</v>
      </c>
      <c r="J16" s="31">
        <v>109.3</v>
      </c>
      <c r="K16" s="32">
        <v>3025.91</v>
      </c>
      <c r="L16" s="32">
        <v>537767.98</v>
      </c>
      <c r="M16" s="32">
        <v>5960.11</v>
      </c>
      <c r="N16" s="32">
        <v>5960.11</v>
      </c>
      <c r="O16" s="32">
        <v>2990</v>
      </c>
      <c r="P16" s="32">
        <v>5850</v>
      </c>
      <c r="Q16" s="32">
        <v>528203.63</v>
      </c>
      <c r="R16" s="33">
        <v>592247000000</v>
      </c>
      <c r="S16" s="30"/>
      <c r="T16" s="34">
        <v>1.84</v>
      </c>
      <c r="U16" s="33">
        <v>139436000000</v>
      </c>
      <c r="V16" s="35">
        <v>90.23</v>
      </c>
      <c r="W16" s="35">
        <v>177.72</v>
      </c>
      <c r="X16" s="35">
        <v>177.72</v>
      </c>
      <c r="Y16" s="31">
        <v>0.51</v>
      </c>
      <c r="Z16" s="35">
        <v>96.93</v>
      </c>
    </row>
    <row r="17" spans="1:26" x14ac:dyDescent="0.3">
      <c r="A17" s="27" t="s">
        <v>62</v>
      </c>
      <c r="B17" s="28">
        <v>2022</v>
      </c>
      <c r="C17" s="29">
        <v>3562814909</v>
      </c>
      <c r="D17" s="29">
        <v>633187000000</v>
      </c>
      <c r="E17" s="30">
        <v>5.17</v>
      </c>
      <c r="F17" s="29">
        <v>7529088292</v>
      </c>
      <c r="G17" s="29">
        <v>3365561652</v>
      </c>
      <c r="H17" s="29">
        <v>580190000000</v>
      </c>
      <c r="I17" s="29">
        <v>7028026489</v>
      </c>
      <c r="J17" s="31">
        <v>109.13</v>
      </c>
      <c r="K17" s="32">
        <v>3133.26</v>
      </c>
      <c r="L17" s="32">
        <v>556845.71</v>
      </c>
      <c r="M17" s="32">
        <v>6621.33</v>
      </c>
      <c r="N17" s="32">
        <v>6180.68</v>
      </c>
      <c r="O17" s="32">
        <v>3310</v>
      </c>
      <c r="P17" s="32">
        <v>6750</v>
      </c>
      <c r="Q17" s="32">
        <v>567437.16</v>
      </c>
      <c r="R17" s="33">
        <v>645231000000</v>
      </c>
      <c r="S17" s="30"/>
      <c r="T17" s="34">
        <v>2.14</v>
      </c>
      <c r="U17" s="33">
        <v>132736000000</v>
      </c>
      <c r="V17" s="35">
        <v>84.1</v>
      </c>
      <c r="W17" s="35">
        <v>177.72</v>
      </c>
      <c r="X17" s="35">
        <v>177.72</v>
      </c>
      <c r="Y17" s="31">
        <v>0.47</v>
      </c>
      <c r="Z17" s="35">
        <v>94.4</v>
      </c>
    </row>
    <row r="18" spans="1:26" x14ac:dyDescent="0.3">
      <c r="A18" s="27" t="s">
        <v>62</v>
      </c>
      <c r="B18" s="28">
        <v>2023</v>
      </c>
      <c r="C18" s="29">
        <v>3917150481</v>
      </c>
      <c r="D18" s="29">
        <v>696160000000</v>
      </c>
      <c r="E18" s="30">
        <v>7.37</v>
      </c>
      <c r="F18" s="29">
        <v>8375036989</v>
      </c>
      <c r="G18" s="29">
        <v>3613673263</v>
      </c>
      <c r="H18" s="29">
        <v>622962000000</v>
      </c>
      <c r="I18" s="29">
        <v>7546137626</v>
      </c>
      <c r="J18" s="31">
        <v>111.75</v>
      </c>
      <c r="K18" s="32">
        <v>3397.52</v>
      </c>
      <c r="L18" s="32">
        <v>603810.68000000005</v>
      </c>
      <c r="M18" s="32">
        <v>7264.04</v>
      </c>
      <c r="N18" s="32">
        <v>6545.1</v>
      </c>
      <c r="O18" s="32">
        <v>3510</v>
      </c>
      <c r="P18" s="32">
        <v>7460</v>
      </c>
      <c r="Q18" s="32">
        <v>619685.39</v>
      </c>
      <c r="R18" s="33">
        <v>714463000000</v>
      </c>
      <c r="S18" s="30"/>
      <c r="T18" s="34">
        <v>2.52</v>
      </c>
      <c r="U18" s="33">
        <v>149757000000</v>
      </c>
      <c r="V18" s="35">
        <v>83.12</v>
      </c>
      <c r="W18" s="35">
        <v>177.72</v>
      </c>
      <c r="X18" s="35">
        <v>177.72</v>
      </c>
      <c r="Y18" s="31">
        <v>0.47</v>
      </c>
      <c r="Z18" s="35">
        <v>92.02</v>
      </c>
    </row>
    <row r="19" spans="1:26" x14ac:dyDescent="0.3">
      <c r="A19" s="27" t="s">
        <v>63</v>
      </c>
      <c r="B19" s="28">
        <v>2020</v>
      </c>
      <c r="C19" s="29"/>
      <c r="D19" s="29"/>
      <c r="E19" s="30"/>
      <c r="F19" s="29"/>
      <c r="G19" s="29"/>
      <c r="H19" s="29"/>
      <c r="I19" s="29"/>
      <c r="J19" s="31"/>
      <c r="K19" s="32"/>
      <c r="L19" s="32"/>
      <c r="M19" s="32"/>
      <c r="N19" s="32"/>
      <c r="O19" s="32"/>
      <c r="P19" s="32"/>
      <c r="Q19" s="32"/>
      <c r="R19" s="33"/>
      <c r="S19" s="30"/>
      <c r="T19" s="34"/>
      <c r="U19" s="33"/>
      <c r="V19" s="35">
        <v>5.01</v>
      </c>
      <c r="W19" s="35">
        <v>15.07</v>
      </c>
      <c r="X19" s="35">
        <v>15.07</v>
      </c>
      <c r="Y19" s="31">
        <v>0.33</v>
      </c>
      <c r="Z19" s="35">
        <v>4.99</v>
      </c>
    </row>
    <row r="20" spans="1:26" x14ac:dyDescent="0.3">
      <c r="A20" s="27" t="s">
        <v>63</v>
      </c>
      <c r="B20" s="28">
        <v>2021</v>
      </c>
      <c r="C20" s="29"/>
      <c r="D20" s="29"/>
      <c r="E20" s="30"/>
      <c r="F20" s="29"/>
      <c r="G20" s="29"/>
      <c r="H20" s="29"/>
      <c r="I20" s="29"/>
      <c r="J20" s="31"/>
      <c r="K20" s="32"/>
      <c r="L20" s="32"/>
      <c r="M20" s="32"/>
      <c r="N20" s="32"/>
      <c r="O20" s="32"/>
      <c r="P20" s="32"/>
      <c r="Q20" s="32"/>
      <c r="R20" s="33"/>
      <c r="S20" s="30"/>
      <c r="T20" s="34"/>
      <c r="U20" s="33"/>
      <c r="V20" s="35">
        <v>4.9400000000000004</v>
      </c>
      <c r="W20" s="35">
        <v>15.07</v>
      </c>
      <c r="X20" s="35">
        <v>15.07</v>
      </c>
      <c r="Y20" s="31">
        <v>0.33</v>
      </c>
      <c r="Z20" s="35">
        <v>5.2</v>
      </c>
    </row>
    <row r="21" spans="1:26" x14ac:dyDescent="0.3">
      <c r="A21" s="27" t="s">
        <v>63</v>
      </c>
      <c r="B21" s="28">
        <v>2022</v>
      </c>
      <c r="C21" s="29"/>
      <c r="D21" s="29"/>
      <c r="E21" s="30"/>
      <c r="F21" s="29"/>
      <c r="G21" s="29"/>
      <c r="H21" s="29"/>
      <c r="I21" s="29"/>
      <c r="J21" s="31"/>
      <c r="K21" s="32"/>
      <c r="L21" s="32"/>
      <c r="M21" s="32"/>
      <c r="N21" s="32"/>
      <c r="O21" s="32"/>
      <c r="P21" s="32"/>
      <c r="Q21" s="32"/>
      <c r="R21" s="33"/>
      <c r="S21" s="30"/>
      <c r="T21" s="34"/>
      <c r="U21" s="33"/>
      <c r="V21" s="35"/>
      <c r="W21" s="35">
        <v>15.07</v>
      </c>
      <c r="X21" s="35">
        <v>15.07</v>
      </c>
      <c r="Y21" s="31"/>
      <c r="Z21" s="35"/>
    </row>
    <row r="22" spans="1:26" x14ac:dyDescent="0.3">
      <c r="A22" s="27" t="s">
        <v>63</v>
      </c>
      <c r="B22" s="28">
        <v>2023</v>
      </c>
      <c r="C22" s="29"/>
      <c r="D22" s="29"/>
      <c r="E22" s="30"/>
      <c r="F22" s="29"/>
      <c r="G22" s="29"/>
      <c r="H22" s="29"/>
      <c r="I22" s="29"/>
      <c r="J22" s="31"/>
      <c r="K22" s="32"/>
      <c r="L22" s="32"/>
      <c r="M22" s="32"/>
      <c r="N22" s="32"/>
      <c r="O22" s="32"/>
      <c r="P22" s="32"/>
      <c r="Q22" s="32"/>
      <c r="R22" s="33"/>
      <c r="S22" s="30"/>
      <c r="T22" s="34"/>
      <c r="U22" s="33"/>
      <c r="V22" s="35"/>
      <c r="W22" s="35">
        <v>15.07</v>
      </c>
      <c r="X22" s="35">
        <v>15.07</v>
      </c>
      <c r="Y22" s="31"/>
      <c r="Z22" s="35"/>
    </row>
    <row r="23" spans="1:26" x14ac:dyDescent="0.3">
      <c r="A23" s="27" t="s">
        <v>64</v>
      </c>
      <c r="B23" s="28">
        <v>2020</v>
      </c>
      <c r="C23" s="29">
        <v>107658000000</v>
      </c>
      <c r="D23" s="29">
        <v>3374750000000</v>
      </c>
      <c r="E23" s="30">
        <v>6.06</v>
      </c>
      <c r="F23" s="29">
        <v>286210000000</v>
      </c>
      <c r="G23" s="29">
        <v>95071775812</v>
      </c>
      <c r="H23" s="29">
        <v>21091800000000</v>
      </c>
      <c r="I23" s="29">
        <v>299262000000</v>
      </c>
      <c r="J23" s="31">
        <v>160</v>
      </c>
      <c r="K23" s="32">
        <v>905.31</v>
      </c>
      <c r="L23" s="32">
        <v>28378.85</v>
      </c>
      <c r="M23" s="32">
        <v>2406.79</v>
      </c>
      <c r="N23" s="32">
        <v>2516.5500000000002</v>
      </c>
      <c r="O23" s="32">
        <v>860</v>
      </c>
      <c r="P23" s="32">
        <v>2390</v>
      </c>
      <c r="Q23" s="32">
        <v>28217.37</v>
      </c>
      <c r="R23" s="33">
        <v>33555400000000</v>
      </c>
      <c r="S23" s="30"/>
      <c r="T23" s="34">
        <v>1.89</v>
      </c>
      <c r="U23" s="33">
        <v>488243000000</v>
      </c>
      <c r="V23" s="35">
        <v>11.79</v>
      </c>
      <c r="W23" s="35">
        <v>31.35</v>
      </c>
      <c r="X23" s="35">
        <v>34.93</v>
      </c>
      <c r="Y23" s="31">
        <v>0.38</v>
      </c>
      <c r="Z23" s="35">
        <v>11.29</v>
      </c>
    </row>
    <row r="24" spans="1:26" x14ac:dyDescent="0.3">
      <c r="A24" s="27" t="s">
        <v>64</v>
      </c>
      <c r="B24" s="28">
        <v>2021</v>
      </c>
      <c r="C24" s="29">
        <v>111262000000</v>
      </c>
      <c r="D24" s="29">
        <v>4341020000000</v>
      </c>
      <c r="E24" s="30">
        <v>5.64</v>
      </c>
      <c r="F24" s="29">
        <v>316145000000</v>
      </c>
      <c r="G24" s="29">
        <v>100435000000</v>
      </c>
      <c r="H24" s="29">
        <v>22281700000000</v>
      </c>
      <c r="I24" s="29">
        <v>316145000000</v>
      </c>
      <c r="J24" s="31">
        <v>194.82</v>
      </c>
      <c r="K24" s="32">
        <v>910.95</v>
      </c>
      <c r="L24" s="32">
        <v>35541.79</v>
      </c>
      <c r="M24" s="32">
        <v>2588.41</v>
      </c>
      <c r="N24" s="32">
        <v>2588.41</v>
      </c>
      <c r="O24" s="32">
        <v>930</v>
      </c>
      <c r="P24" s="32">
        <v>2580</v>
      </c>
      <c r="Q24" s="32">
        <v>35358.550000000003</v>
      </c>
      <c r="R24" s="33">
        <v>43186400000000</v>
      </c>
      <c r="S24" s="30">
        <v>63.7</v>
      </c>
      <c r="T24" s="34">
        <v>1.82</v>
      </c>
      <c r="U24" s="33">
        <v>599007000000</v>
      </c>
      <c r="V24" s="35">
        <v>13.73</v>
      </c>
      <c r="W24" s="35">
        <v>39.020000000000003</v>
      </c>
      <c r="X24" s="35">
        <v>43.73</v>
      </c>
      <c r="Y24" s="31">
        <v>0.35</v>
      </c>
      <c r="Z24" s="35">
        <v>13.44</v>
      </c>
    </row>
    <row r="25" spans="1:26" x14ac:dyDescent="0.3">
      <c r="A25" s="27" t="s">
        <v>64</v>
      </c>
      <c r="B25" s="28">
        <v>2022</v>
      </c>
      <c r="C25" s="29">
        <v>126773000000</v>
      </c>
      <c r="D25" s="29">
        <v>6157020000000</v>
      </c>
      <c r="E25" s="30">
        <v>5.32</v>
      </c>
      <c r="F25" s="29">
        <v>356709000000</v>
      </c>
      <c r="G25" s="29">
        <v>105780000000</v>
      </c>
      <c r="H25" s="29">
        <v>23467500000000</v>
      </c>
      <c r="I25" s="29">
        <v>332970000000</v>
      </c>
      <c r="J25" s="31">
        <v>262.36</v>
      </c>
      <c r="K25" s="32">
        <v>1011.07</v>
      </c>
      <c r="L25" s="32">
        <v>49105.16</v>
      </c>
      <c r="M25" s="32">
        <v>2844.92</v>
      </c>
      <c r="N25" s="32">
        <v>2655.59</v>
      </c>
      <c r="O25" s="32">
        <v>1010</v>
      </c>
      <c r="P25" s="32">
        <v>2830</v>
      </c>
      <c r="Q25" s="32">
        <v>48882.95</v>
      </c>
      <c r="R25" s="33">
        <v>61291500000000</v>
      </c>
      <c r="S25" s="30"/>
      <c r="T25" s="34">
        <v>1.59</v>
      </c>
      <c r="U25" s="33">
        <v>781789000000</v>
      </c>
      <c r="V25" s="35">
        <v>17.260000000000002</v>
      </c>
      <c r="W25" s="35">
        <v>48.57</v>
      </c>
      <c r="X25" s="35">
        <v>51.76</v>
      </c>
      <c r="Y25" s="31">
        <v>0.36</v>
      </c>
      <c r="Z25" s="35">
        <v>16.66</v>
      </c>
    </row>
    <row r="26" spans="1:26" x14ac:dyDescent="0.3">
      <c r="A26" s="27" t="s">
        <v>64</v>
      </c>
      <c r="B26" s="28">
        <v>2023</v>
      </c>
      <c r="C26" s="29"/>
      <c r="D26" s="29">
        <v>8723120000000</v>
      </c>
      <c r="E26" s="30">
        <v>6.59</v>
      </c>
      <c r="F26" s="29">
        <v>393913000000</v>
      </c>
      <c r="G26" s="29">
        <v>112756000000</v>
      </c>
      <c r="H26" s="29">
        <v>25015000000000</v>
      </c>
      <c r="I26" s="29">
        <v>354926000000</v>
      </c>
      <c r="J26" s="31">
        <v>348.72</v>
      </c>
      <c r="K26" s="32"/>
      <c r="L26" s="32">
        <v>67783.06</v>
      </c>
      <c r="M26" s="32">
        <v>3060.91</v>
      </c>
      <c r="N26" s="32">
        <v>2757.96</v>
      </c>
      <c r="O26" s="32"/>
      <c r="P26" s="32">
        <v>3050</v>
      </c>
      <c r="Q26" s="32">
        <v>67597.16</v>
      </c>
      <c r="R26" s="33">
        <v>86991900000000</v>
      </c>
      <c r="S26" s="30"/>
      <c r="T26" s="34"/>
      <c r="U26" s="33">
        <v>943881000000</v>
      </c>
      <c r="V26" s="35">
        <v>22.14</v>
      </c>
      <c r="W26" s="35"/>
      <c r="X26" s="35">
        <v>54.6</v>
      </c>
      <c r="Y26" s="31"/>
      <c r="Z26" s="35">
        <v>20.83</v>
      </c>
    </row>
    <row r="27" spans="1:26" x14ac:dyDescent="0.3">
      <c r="A27" s="27" t="s">
        <v>65</v>
      </c>
      <c r="B27" s="28">
        <v>2020</v>
      </c>
      <c r="C27" s="29">
        <v>100658000000</v>
      </c>
      <c r="D27" s="29">
        <v>10715100000000</v>
      </c>
      <c r="E27" s="30">
        <v>-0.27</v>
      </c>
      <c r="F27" s="29">
        <v>250255000000</v>
      </c>
      <c r="G27" s="29">
        <v>84035138347</v>
      </c>
      <c r="H27" s="29">
        <v>87330600000000</v>
      </c>
      <c r="I27" s="29">
        <v>264084000000</v>
      </c>
      <c r="J27" s="31">
        <v>122.7</v>
      </c>
      <c r="K27" s="32">
        <v>1927.66</v>
      </c>
      <c r="L27" s="32">
        <v>205201.4</v>
      </c>
      <c r="M27" s="32">
        <v>4792.57</v>
      </c>
      <c r="N27" s="32">
        <v>5057.3999999999996</v>
      </c>
      <c r="O27" s="32">
        <v>1910</v>
      </c>
      <c r="P27" s="32">
        <v>4760</v>
      </c>
      <c r="Q27" s="32">
        <v>203823.71</v>
      </c>
      <c r="R27" s="33">
        <v>10643100000000</v>
      </c>
      <c r="S27" s="30">
        <v>65.599999999999994</v>
      </c>
      <c r="T27" s="34">
        <v>2.83</v>
      </c>
      <c r="U27" s="33">
        <v>2657454000000</v>
      </c>
      <c r="V27" s="35">
        <v>42.82</v>
      </c>
      <c r="W27" s="35">
        <v>106.45</v>
      </c>
      <c r="X27" s="35">
        <v>106.45</v>
      </c>
      <c r="Y27" s="31">
        <v>0.4</v>
      </c>
      <c r="Z27" s="35">
        <v>43.22</v>
      </c>
    </row>
    <row r="28" spans="1:26" x14ac:dyDescent="0.3">
      <c r="A28" s="27" t="s">
        <v>65</v>
      </c>
      <c r="B28" s="28">
        <v>2021</v>
      </c>
      <c r="C28" s="29">
        <v>109704000000</v>
      </c>
      <c r="D28" s="29">
        <v>12027700000000</v>
      </c>
      <c r="E28" s="30">
        <v>7.59</v>
      </c>
      <c r="F28" s="29">
        <v>284129000000</v>
      </c>
      <c r="G28" s="29">
        <v>90413816677</v>
      </c>
      <c r="H28" s="29">
        <v>93959400000000</v>
      </c>
      <c r="I28" s="29">
        <v>284129000000</v>
      </c>
      <c r="J28" s="31">
        <v>128.01</v>
      </c>
      <c r="K28" s="32">
        <v>2061.36</v>
      </c>
      <c r="L28" s="32">
        <v>226002.45</v>
      </c>
      <c r="M28" s="32">
        <v>5338.85</v>
      </c>
      <c r="N28" s="32">
        <v>5338.85</v>
      </c>
      <c r="O28" s="32">
        <v>2070</v>
      </c>
      <c r="P28" s="32">
        <v>5260</v>
      </c>
      <c r="Q28" s="32">
        <v>222852.5</v>
      </c>
      <c r="R28" s="33">
        <v>11860000000000</v>
      </c>
      <c r="S28" s="30">
        <v>67.900000000000006</v>
      </c>
      <c r="T28" s="34">
        <v>2.2599999999999998</v>
      </c>
      <c r="U28" s="33">
        <v>2888491000000</v>
      </c>
      <c r="V28" s="35">
        <v>42.33</v>
      </c>
      <c r="W28" s="35">
        <v>109.64</v>
      </c>
      <c r="X28" s="35">
        <v>109.64</v>
      </c>
      <c r="Y28" s="31">
        <v>0.39</v>
      </c>
      <c r="Z28" s="35">
        <v>42.43</v>
      </c>
    </row>
    <row r="29" spans="1:26" x14ac:dyDescent="0.3">
      <c r="A29" s="27" t="s">
        <v>65</v>
      </c>
      <c r="B29" s="28">
        <v>2022</v>
      </c>
      <c r="C29" s="29">
        <v>114449000000</v>
      </c>
      <c r="D29" s="29">
        <v>13489600000000</v>
      </c>
      <c r="E29" s="30">
        <v>4.8600000000000003</v>
      </c>
      <c r="F29" s="29">
        <v>319179000000</v>
      </c>
      <c r="G29" s="29">
        <v>94807911028</v>
      </c>
      <c r="H29" s="29">
        <v>98525800000000</v>
      </c>
      <c r="I29" s="29">
        <v>297938000000</v>
      </c>
      <c r="J29" s="31">
        <v>136.91</v>
      </c>
      <c r="K29" s="32">
        <v>2109.56</v>
      </c>
      <c r="L29" s="32">
        <v>248645.72</v>
      </c>
      <c r="M29" s="32">
        <v>5883.22</v>
      </c>
      <c r="N29" s="32">
        <v>5491.69</v>
      </c>
      <c r="O29" s="32">
        <v>2170</v>
      </c>
      <c r="P29" s="32">
        <v>5790</v>
      </c>
      <c r="Q29" s="32">
        <v>244822.59</v>
      </c>
      <c r="R29" s="33">
        <v>13282200000000</v>
      </c>
      <c r="S29" s="30">
        <v>67</v>
      </c>
      <c r="T29" s="34">
        <v>2.96</v>
      </c>
      <c r="U29" s="33">
        <v>3124259000000</v>
      </c>
      <c r="V29" s="35">
        <v>42.26</v>
      </c>
      <c r="W29" s="35">
        <v>117.87</v>
      </c>
      <c r="X29" s="35">
        <v>117.87</v>
      </c>
      <c r="Y29" s="31">
        <v>0.36</v>
      </c>
      <c r="Z29" s="35">
        <v>42.29</v>
      </c>
    </row>
    <row r="30" spans="1:26" x14ac:dyDescent="0.3">
      <c r="A30" s="27" t="s">
        <v>65</v>
      </c>
      <c r="B30" s="28">
        <v>2023</v>
      </c>
      <c r="C30" s="29">
        <v>108039000000</v>
      </c>
      <c r="D30" s="29">
        <v>15108800000000</v>
      </c>
      <c r="E30" s="30">
        <v>5.56</v>
      </c>
      <c r="F30" s="29">
        <v>349036000000</v>
      </c>
      <c r="G30" s="29">
        <v>100075000000</v>
      </c>
      <c r="H30" s="29">
        <v>104000000000000</v>
      </c>
      <c r="I30" s="29">
        <v>314491000000</v>
      </c>
      <c r="J30" s="31">
        <v>145.28</v>
      </c>
      <c r="K30" s="32">
        <v>1952.3</v>
      </c>
      <c r="L30" s="32">
        <v>273022.74</v>
      </c>
      <c r="M30" s="32">
        <v>6307.23</v>
      </c>
      <c r="N30" s="32">
        <v>5682.99</v>
      </c>
      <c r="O30" s="32">
        <v>2110</v>
      </c>
      <c r="P30" s="32">
        <v>6200</v>
      </c>
      <c r="Q30" s="32">
        <v>268254.76</v>
      </c>
      <c r="R30" s="33">
        <v>14845000000000</v>
      </c>
      <c r="S30" s="30"/>
      <c r="T30" s="34">
        <v>3.65</v>
      </c>
      <c r="U30" s="33">
        <v>3413105000000</v>
      </c>
      <c r="V30" s="35">
        <v>43.29</v>
      </c>
      <c r="W30" s="35">
        <v>139.85</v>
      </c>
      <c r="X30" s="35">
        <v>139.85</v>
      </c>
      <c r="Y30" s="31">
        <v>0.31</v>
      </c>
      <c r="Z30" s="35">
        <v>43.74</v>
      </c>
    </row>
    <row r="31" spans="1:26" x14ac:dyDescent="0.3">
      <c r="A31" s="27" t="s">
        <v>66</v>
      </c>
      <c r="B31" s="28">
        <v>2020</v>
      </c>
      <c r="C31" s="29">
        <v>13051441204</v>
      </c>
      <c r="D31" s="29">
        <v>49435600000000</v>
      </c>
      <c r="E31" s="30">
        <v>-7.14</v>
      </c>
      <c r="F31" s="29">
        <v>43150154156</v>
      </c>
      <c r="G31" s="29">
        <v>12245161113</v>
      </c>
      <c r="H31" s="29">
        <v>20319100000000</v>
      </c>
      <c r="I31" s="29">
        <v>44754297418</v>
      </c>
      <c r="J31" s="31">
        <v>243.3</v>
      </c>
      <c r="K31" s="32">
        <v>450.77</v>
      </c>
      <c r="L31" s="32">
        <v>1707412.01</v>
      </c>
      <c r="M31" s="32">
        <v>1490.32</v>
      </c>
      <c r="N31" s="32">
        <v>1545.73</v>
      </c>
      <c r="O31" s="32">
        <v>450</v>
      </c>
      <c r="P31" s="32">
        <v>1450</v>
      </c>
      <c r="Q31" s="32">
        <v>1657192.13</v>
      </c>
      <c r="R31" s="33">
        <v>47981600000000</v>
      </c>
      <c r="S31" s="30"/>
      <c r="T31" s="34">
        <v>1.05</v>
      </c>
      <c r="U31" s="33">
        <v>8085230000000</v>
      </c>
      <c r="V31" s="35">
        <v>1145.67</v>
      </c>
      <c r="W31" s="35">
        <v>3787.75</v>
      </c>
      <c r="X31" s="35">
        <v>3787.75</v>
      </c>
      <c r="Y31" s="31">
        <v>0.3</v>
      </c>
      <c r="Z31" s="35">
        <v>1099.49</v>
      </c>
    </row>
    <row r="32" spans="1:26" x14ac:dyDescent="0.3">
      <c r="A32" s="27" t="s">
        <v>66</v>
      </c>
      <c r="B32" s="28">
        <v>2021</v>
      </c>
      <c r="C32" s="29">
        <v>14354731964</v>
      </c>
      <c r="D32" s="29">
        <v>54978300000000</v>
      </c>
      <c r="E32" s="30">
        <v>4.6500000000000004</v>
      </c>
      <c r="F32" s="29">
        <v>46835678114</v>
      </c>
      <c r="G32" s="29">
        <v>12814644792</v>
      </c>
      <c r="H32" s="29">
        <v>21264100000000</v>
      </c>
      <c r="I32" s="29">
        <v>46835678114</v>
      </c>
      <c r="J32" s="31">
        <v>258.55</v>
      </c>
      <c r="K32" s="32">
        <v>483.47</v>
      </c>
      <c r="L32" s="32">
        <v>1851677.33</v>
      </c>
      <c r="M32" s="32">
        <v>1577.43</v>
      </c>
      <c r="N32" s="32">
        <v>1577.43</v>
      </c>
      <c r="O32" s="32">
        <v>470</v>
      </c>
      <c r="P32" s="32">
        <v>1550</v>
      </c>
      <c r="Q32" s="32">
        <v>1818145.07</v>
      </c>
      <c r="R32" s="33">
        <v>53982700000000</v>
      </c>
      <c r="S32" s="30">
        <v>83.9</v>
      </c>
      <c r="T32" s="34">
        <v>1.19</v>
      </c>
      <c r="U32" s="33">
        <v>7640824000000</v>
      </c>
      <c r="V32" s="35">
        <v>1173.8599999999999</v>
      </c>
      <c r="W32" s="35">
        <v>3829.98</v>
      </c>
      <c r="X32" s="35">
        <v>3829.98</v>
      </c>
      <c r="Y32" s="31">
        <v>0.31</v>
      </c>
      <c r="Z32" s="35">
        <v>1131.71</v>
      </c>
    </row>
    <row r="33" spans="1:26" x14ac:dyDescent="0.3">
      <c r="A33" s="27" t="s">
        <v>66</v>
      </c>
      <c r="B33" s="28">
        <v>2022</v>
      </c>
      <c r="C33" s="29">
        <v>15325603273</v>
      </c>
      <c r="D33" s="29">
        <v>62775500000000</v>
      </c>
      <c r="E33" s="30">
        <v>4.16</v>
      </c>
      <c r="F33" s="29">
        <v>52260133351</v>
      </c>
      <c r="G33" s="29">
        <v>13347233960</v>
      </c>
      <c r="H33" s="29">
        <v>22147900000000</v>
      </c>
      <c r="I33" s="29">
        <v>48782214694</v>
      </c>
      <c r="J33" s="31">
        <v>283.44</v>
      </c>
      <c r="K33" s="32">
        <v>503.51</v>
      </c>
      <c r="L33" s="32">
        <v>2062454.03</v>
      </c>
      <c r="M33" s="32">
        <v>1716.98</v>
      </c>
      <c r="N33" s="32">
        <v>1602.71</v>
      </c>
      <c r="O33" s="32">
        <v>500</v>
      </c>
      <c r="P33" s="32">
        <v>1680</v>
      </c>
      <c r="Q33" s="32">
        <v>2012745.43</v>
      </c>
      <c r="R33" s="33">
        <v>61262500000000</v>
      </c>
      <c r="S33" s="30"/>
      <c r="T33" s="34">
        <v>1.44</v>
      </c>
      <c r="U33" s="33">
        <v>10199780000000</v>
      </c>
      <c r="V33" s="35">
        <v>1201.21</v>
      </c>
      <c r="W33" s="35">
        <v>4096.12</v>
      </c>
      <c r="X33" s="35">
        <v>4096.12</v>
      </c>
      <c r="Y33" s="31">
        <v>0.28999999999999998</v>
      </c>
      <c r="Z33" s="35">
        <v>1133.3599999999999</v>
      </c>
    </row>
    <row r="34" spans="1:26" x14ac:dyDescent="0.3">
      <c r="A34" s="27" t="s">
        <v>66</v>
      </c>
      <c r="B34" s="28">
        <v>2023</v>
      </c>
      <c r="C34" s="29">
        <v>15869945478</v>
      </c>
      <c r="D34" s="29">
        <v>70297200000000</v>
      </c>
      <c r="E34" s="30">
        <v>4.2</v>
      </c>
      <c r="F34" s="29">
        <v>56416214294</v>
      </c>
      <c r="G34" s="29">
        <v>13908224365</v>
      </c>
      <c r="H34" s="29">
        <v>23078800000000</v>
      </c>
      <c r="I34" s="29">
        <v>50832553694</v>
      </c>
      <c r="J34" s="31">
        <v>304.60000000000002</v>
      </c>
      <c r="K34" s="32">
        <v>508.72</v>
      </c>
      <c r="L34" s="32">
        <v>2253408.5699999998</v>
      </c>
      <c r="M34" s="32">
        <v>1808.45</v>
      </c>
      <c r="N34" s="32">
        <v>1629.46</v>
      </c>
      <c r="O34" s="32">
        <v>510</v>
      </c>
      <c r="P34" s="32">
        <v>1770</v>
      </c>
      <c r="Q34" s="32">
        <v>2204382.4300000002</v>
      </c>
      <c r="R34" s="33">
        <v>68767800000000</v>
      </c>
      <c r="S34" s="30"/>
      <c r="T34" s="34">
        <v>1.72</v>
      </c>
      <c r="U34" s="33">
        <v>12596877000000</v>
      </c>
      <c r="V34" s="35">
        <v>1246.05</v>
      </c>
      <c r="W34" s="35">
        <v>4429.58</v>
      </c>
      <c r="X34" s="35">
        <v>4429.58</v>
      </c>
      <c r="Y34" s="31">
        <v>0.28000000000000003</v>
      </c>
      <c r="Z34" s="35">
        <v>1196.04</v>
      </c>
    </row>
    <row r="35" spans="1:26" x14ac:dyDescent="0.3">
      <c r="A35" s="27" t="s">
        <v>67</v>
      </c>
      <c r="B35" s="28">
        <v>2020</v>
      </c>
      <c r="C35" s="29">
        <v>11769313598</v>
      </c>
      <c r="D35" s="29">
        <v>8821420000000</v>
      </c>
      <c r="E35" s="30">
        <v>0.79</v>
      </c>
      <c r="F35" s="29">
        <v>29563756336</v>
      </c>
      <c r="G35" s="29">
        <v>10928176722</v>
      </c>
      <c r="H35" s="29">
        <v>7262380000000</v>
      </c>
      <c r="I35" s="29">
        <v>32356710546</v>
      </c>
      <c r="J35" s="31">
        <v>121.47</v>
      </c>
      <c r="K35" s="32">
        <v>602.51</v>
      </c>
      <c r="L35" s="32">
        <v>451595.92</v>
      </c>
      <c r="M35" s="32">
        <v>1513.46</v>
      </c>
      <c r="N35" s="32">
        <v>1656.44</v>
      </c>
      <c r="O35" s="32">
        <v>560</v>
      </c>
      <c r="P35" s="32">
        <v>1470</v>
      </c>
      <c r="Q35" s="32">
        <v>438966.53</v>
      </c>
      <c r="R35" s="33">
        <v>8574720000000</v>
      </c>
      <c r="S35" s="30"/>
      <c r="T35" s="34">
        <v>0.87</v>
      </c>
      <c r="U35" s="33">
        <v>2003650000000</v>
      </c>
      <c r="V35" s="35">
        <v>298.39</v>
      </c>
      <c r="W35" s="35">
        <v>749.53</v>
      </c>
      <c r="X35" s="35">
        <v>749.53</v>
      </c>
      <c r="Y35" s="31">
        <v>0.4</v>
      </c>
      <c r="Z35" s="35">
        <v>280.89999999999998</v>
      </c>
    </row>
    <row r="36" spans="1:26" x14ac:dyDescent="0.3">
      <c r="A36" s="27" t="s">
        <v>67</v>
      </c>
      <c r="B36" s="28">
        <v>2021</v>
      </c>
      <c r="C36" s="29">
        <v>12378129751</v>
      </c>
      <c r="D36" s="29">
        <v>9975520000000</v>
      </c>
      <c r="E36" s="30">
        <v>4.5599999999999996</v>
      </c>
      <c r="F36" s="29">
        <v>33831623933</v>
      </c>
      <c r="G36" s="29">
        <v>11426314940</v>
      </c>
      <c r="H36" s="29">
        <v>7593420000000</v>
      </c>
      <c r="I36" s="29">
        <v>33831623933</v>
      </c>
      <c r="J36" s="31">
        <v>131.37</v>
      </c>
      <c r="K36" s="32">
        <v>617.45000000000005</v>
      </c>
      <c r="L36" s="32">
        <v>497600.32</v>
      </c>
      <c r="M36" s="32">
        <v>1687.59</v>
      </c>
      <c r="N36" s="32">
        <v>1687.59</v>
      </c>
      <c r="O36" s="32">
        <v>600</v>
      </c>
      <c r="P36" s="32">
        <v>1640</v>
      </c>
      <c r="Q36" s="32">
        <v>482649.39</v>
      </c>
      <c r="R36" s="33">
        <v>9675800000000</v>
      </c>
      <c r="S36" s="30"/>
      <c r="T36" s="34">
        <v>0.91</v>
      </c>
      <c r="U36" s="33">
        <v>2359358000000</v>
      </c>
      <c r="V36" s="35">
        <v>294.86</v>
      </c>
      <c r="W36" s="35">
        <v>805.9</v>
      </c>
      <c r="X36" s="35">
        <v>805.9</v>
      </c>
      <c r="Y36" s="31">
        <v>0.37</v>
      </c>
      <c r="Z36" s="35">
        <v>282.08999999999997</v>
      </c>
    </row>
    <row r="37" spans="1:26" x14ac:dyDescent="0.3">
      <c r="A37" s="27" t="s">
        <v>67</v>
      </c>
      <c r="B37" s="28">
        <v>2022</v>
      </c>
      <c r="C37" s="29">
        <v>12429060151</v>
      </c>
      <c r="D37" s="29">
        <v>11795700000000</v>
      </c>
      <c r="E37" s="30">
        <v>0.92</v>
      </c>
      <c r="F37" s="29">
        <v>36577488742</v>
      </c>
      <c r="G37" s="29">
        <v>11531564449</v>
      </c>
      <c r="H37" s="29">
        <v>7663360000000</v>
      </c>
      <c r="I37" s="29">
        <v>34143252120</v>
      </c>
      <c r="J37" s="31">
        <v>153.91999999999999</v>
      </c>
      <c r="K37" s="32">
        <v>604.27</v>
      </c>
      <c r="L37" s="32">
        <v>573475.56000000006</v>
      </c>
      <c r="M37" s="32">
        <v>1778.31</v>
      </c>
      <c r="N37" s="32">
        <v>1659.96</v>
      </c>
      <c r="O37" s="32">
        <v>610</v>
      </c>
      <c r="P37" s="32">
        <v>1720</v>
      </c>
      <c r="Q37" s="32">
        <v>556197.19999999995</v>
      </c>
      <c r="R37" s="33">
        <v>11440300000000</v>
      </c>
      <c r="S37" s="30"/>
      <c r="T37" s="34">
        <v>1.1499999999999999</v>
      </c>
      <c r="U37" s="33">
        <v>3146994000000</v>
      </c>
      <c r="V37" s="35">
        <v>322.48</v>
      </c>
      <c r="W37" s="35">
        <v>949.04</v>
      </c>
      <c r="X37" s="35">
        <v>949.04</v>
      </c>
      <c r="Y37" s="31">
        <v>0.34</v>
      </c>
      <c r="Z37" s="35">
        <v>315.92</v>
      </c>
    </row>
    <row r="38" spans="1:26" x14ac:dyDescent="0.3">
      <c r="A38" s="27" t="s">
        <v>67</v>
      </c>
      <c r="B38" s="28">
        <v>2023</v>
      </c>
      <c r="C38" s="29">
        <v>12712150082</v>
      </c>
      <c r="D38" s="29">
        <v>14760000000000</v>
      </c>
      <c r="E38" s="30">
        <v>1.89</v>
      </c>
      <c r="F38" s="29">
        <v>38610812097</v>
      </c>
      <c r="G38" s="29">
        <v>11749794461</v>
      </c>
      <c r="H38" s="29">
        <v>7808390000000</v>
      </c>
      <c r="I38" s="29">
        <v>34789398822</v>
      </c>
      <c r="J38" s="31">
        <v>189.03</v>
      </c>
      <c r="K38" s="32">
        <v>602.34</v>
      </c>
      <c r="L38" s="32">
        <v>699377.78</v>
      </c>
      <c r="M38" s="32">
        <v>1829.51</v>
      </c>
      <c r="N38" s="32">
        <v>1648.44</v>
      </c>
      <c r="O38" s="32">
        <v>600</v>
      </c>
      <c r="P38" s="32">
        <v>1780</v>
      </c>
      <c r="Q38" s="32">
        <v>679406.67</v>
      </c>
      <c r="R38" s="33">
        <v>14338500000000</v>
      </c>
      <c r="S38" s="30"/>
      <c r="T38" s="34">
        <v>1.22</v>
      </c>
      <c r="U38" s="33">
        <v>3943286000000</v>
      </c>
      <c r="V38" s="35">
        <v>382.28</v>
      </c>
      <c r="W38" s="35">
        <v>1161.0899999999999</v>
      </c>
      <c r="X38" s="35">
        <v>1161.0899999999999</v>
      </c>
      <c r="Y38" s="31">
        <v>0.33</v>
      </c>
      <c r="Z38" s="35">
        <v>390.79</v>
      </c>
    </row>
    <row r="39" spans="1:26" x14ac:dyDescent="0.3">
      <c r="A39" s="27" t="s">
        <v>68</v>
      </c>
      <c r="B39" s="28">
        <v>2020</v>
      </c>
      <c r="C39" s="29">
        <v>11408106446</v>
      </c>
      <c r="D39" s="29">
        <v>448874000000</v>
      </c>
      <c r="E39" s="30">
        <v>-14.55</v>
      </c>
      <c r="F39" s="29">
        <v>26999298653</v>
      </c>
      <c r="G39" s="29">
        <v>11853530019</v>
      </c>
      <c r="H39" s="29">
        <v>439662000000</v>
      </c>
      <c r="I39" s="29">
        <v>27845555062</v>
      </c>
      <c r="J39" s="31">
        <v>102.1</v>
      </c>
      <c r="K39" s="32">
        <v>9011.0400000000009</v>
      </c>
      <c r="L39" s="32">
        <v>354556.9</v>
      </c>
      <c r="M39" s="32">
        <v>21326.22</v>
      </c>
      <c r="N39" s="32">
        <v>21994.67</v>
      </c>
      <c r="O39" s="32">
        <v>10470</v>
      </c>
      <c r="P39" s="32">
        <v>22890</v>
      </c>
      <c r="Q39" s="32">
        <v>380513.96</v>
      </c>
      <c r="R39" s="33">
        <v>481736000000</v>
      </c>
      <c r="S39" s="30"/>
      <c r="T39" s="34">
        <v>21.79</v>
      </c>
      <c r="U39" s="33">
        <v>146401000000</v>
      </c>
      <c r="V39" s="35">
        <v>16.63</v>
      </c>
      <c r="W39" s="35">
        <v>39.35</v>
      </c>
      <c r="X39" s="35">
        <v>39.35</v>
      </c>
      <c r="Y39" s="31">
        <v>0.42</v>
      </c>
      <c r="Z39" s="35">
        <v>18.63</v>
      </c>
    </row>
    <row r="40" spans="1:26" x14ac:dyDescent="0.3">
      <c r="A40" s="27" t="s">
        <v>68</v>
      </c>
      <c r="B40" s="28">
        <v>2021</v>
      </c>
      <c r="C40" s="29">
        <v>11484348858</v>
      </c>
      <c r="D40" s="29">
        <v>478807000000</v>
      </c>
      <c r="E40" s="30">
        <v>3.4</v>
      </c>
      <c r="F40" s="29">
        <v>28793361693</v>
      </c>
      <c r="G40" s="29">
        <v>12257000315</v>
      </c>
      <c r="H40" s="29">
        <v>454627000000</v>
      </c>
      <c r="I40" s="29">
        <v>28793361693</v>
      </c>
      <c r="J40" s="31">
        <v>105.32</v>
      </c>
      <c r="K40" s="32">
        <v>9068.9699999999993</v>
      </c>
      <c r="L40" s="32">
        <v>378104.83</v>
      </c>
      <c r="M40" s="32">
        <v>22737.57</v>
      </c>
      <c r="N40" s="32">
        <v>22737.57</v>
      </c>
      <c r="O40" s="32">
        <v>10840</v>
      </c>
      <c r="P40" s="32">
        <v>25280</v>
      </c>
      <c r="Q40" s="32">
        <v>420303.02</v>
      </c>
      <c r="R40" s="33">
        <v>532244000000</v>
      </c>
      <c r="S40" s="30"/>
      <c r="T40" s="34">
        <v>21.98</v>
      </c>
      <c r="U40" s="33">
        <v>147548000000</v>
      </c>
      <c r="V40" s="35">
        <v>16.63</v>
      </c>
      <c r="W40" s="35">
        <v>41.69</v>
      </c>
      <c r="X40" s="35">
        <v>41.69</v>
      </c>
      <c r="Y40" s="31">
        <v>0.4</v>
      </c>
      <c r="Z40" s="35">
        <v>18.77</v>
      </c>
    </row>
    <row r="41" spans="1:26" x14ac:dyDescent="0.3">
      <c r="A41" s="27" t="s">
        <v>68</v>
      </c>
      <c r="B41" s="28">
        <v>2022</v>
      </c>
      <c r="C41" s="29">
        <v>12907767790</v>
      </c>
      <c r="D41" s="29">
        <v>570301000000</v>
      </c>
      <c r="E41" s="30">
        <v>8.69</v>
      </c>
      <c r="F41" s="29">
        <v>33527657824</v>
      </c>
      <c r="G41" s="29">
        <v>13322509534</v>
      </c>
      <c r="H41" s="29">
        <v>494148000000</v>
      </c>
      <c r="I41" s="29">
        <v>31296387845</v>
      </c>
      <c r="J41" s="31">
        <v>115.41</v>
      </c>
      <c r="K41" s="32">
        <v>10223.790000000001</v>
      </c>
      <c r="L41" s="32">
        <v>451715.34</v>
      </c>
      <c r="M41" s="32">
        <v>26556.080000000002</v>
      </c>
      <c r="N41" s="32">
        <v>24788.77</v>
      </c>
      <c r="O41" s="32">
        <v>11620</v>
      </c>
      <c r="P41" s="32">
        <v>29260</v>
      </c>
      <c r="Q41" s="32">
        <v>497710.54</v>
      </c>
      <c r="R41" s="33">
        <v>628371000000</v>
      </c>
      <c r="S41" s="30"/>
      <c r="T41" s="34">
        <v>6.37</v>
      </c>
      <c r="U41" s="33">
        <v>167410000000</v>
      </c>
      <c r="V41" s="35">
        <v>17.010000000000002</v>
      </c>
      <c r="W41" s="35">
        <v>44.18</v>
      </c>
      <c r="X41" s="35">
        <v>44.18</v>
      </c>
      <c r="Y41" s="31">
        <v>0.38</v>
      </c>
      <c r="Z41" s="35">
        <v>19.25</v>
      </c>
    </row>
    <row r="42" spans="1:26" x14ac:dyDescent="0.3">
      <c r="A42" s="27" t="s">
        <v>68</v>
      </c>
      <c r="B42" s="28">
        <v>2023</v>
      </c>
      <c r="C42" s="29">
        <v>14101195733</v>
      </c>
      <c r="D42" s="29">
        <v>638322000000</v>
      </c>
      <c r="E42" s="30">
        <v>5.01</v>
      </c>
      <c r="F42" s="29">
        <v>36473533933</v>
      </c>
      <c r="G42" s="29">
        <v>13989676007</v>
      </c>
      <c r="H42" s="29">
        <v>518894000000</v>
      </c>
      <c r="I42" s="29">
        <v>32863652680</v>
      </c>
      <c r="J42" s="31">
        <v>123.02</v>
      </c>
      <c r="K42" s="32">
        <v>11182.19</v>
      </c>
      <c r="L42" s="32">
        <v>506186.56</v>
      </c>
      <c r="M42" s="32">
        <v>28923.35</v>
      </c>
      <c r="N42" s="32">
        <v>26060.73</v>
      </c>
      <c r="O42" s="32">
        <v>12070</v>
      </c>
      <c r="P42" s="32">
        <v>31670</v>
      </c>
      <c r="Q42" s="32">
        <v>554172.31000000006</v>
      </c>
      <c r="R42" s="33">
        <v>698834000000</v>
      </c>
      <c r="S42" s="30"/>
      <c r="T42" s="34">
        <v>12.6</v>
      </c>
      <c r="U42" s="33">
        <v>191021000000</v>
      </c>
      <c r="V42" s="35">
        <v>17.5</v>
      </c>
      <c r="W42" s="35">
        <v>45.27</v>
      </c>
      <c r="X42" s="35">
        <v>45.27</v>
      </c>
      <c r="Y42" s="31">
        <v>0.39</v>
      </c>
      <c r="Z42" s="35">
        <v>19.79</v>
      </c>
    </row>
    <row r="43" spans="1:26" x14ac:dyDescent="0.3">
      <c r="A43" s="27" t="s">
        <v>69</v>
      </c>
      <c r="B43" s="28">
        <v>2020</v>
      </c>
      <c r="C43" s="29">
        <v>14235420174</v>
      </c>
      <c r="D43" s="29">
        <v>988863000000</v>
      </c>
      <c r="E43" s="30">
        <v>-1.22</v>
      </c>
      <c r="F43" s="29">
        <v>43454882039</v>
      </c>
      <c r="G43" s="29">
        <v>18217911540</v>
      </c>
      <c r="H43" s="29">
        <v>958464000000</v>
      </c>
      <c r="I43" s="29">
        <v>45132727327</v>
      </c>
      <c r="J43" s="31">
        <v>103.17</v>
      </c>
      <c r="K43" s="32">
        <v>462.43</v>
      </c>
      <c r="L43" s="32">
        <v>32122.97</v>
      </c>
      <c r="M43" s="32">
        <v>1411.62</v>
      </c>
      <c r="N43" s="32">
        <v>1466.12</v>
      </c>
      <c r="O43" s="32">
        <v>480</v>
      </c>
      <c r="P43" s="32">
        <v>1380</v>
      </c>
      <c r="Q43" s="32">
        <v>31475.97</v>
      </c>
      <c r="R43" s="33">
        <v>968946000000</v>
      </c>
      <c r="S43" s="30"/>
      <c r="T43" s="34">
        <v>8.83</v>
      </c>
      <c r="U43" s="33">
        <v>334810000000</v>
      </c>
      <c r="V43" s="35">
        <v>22.76</v>
      </c>
      <c r="W43" s="35">
        <v>69.47</v>
      </c>
      <c r="X43" s="35">
        <v>69.47</v>
      </c>
      <c r="Y43" s="31">
        <v>0.33</v>
      </c>
      <c r="Z43" s="35">
        <v>23.39</v>
      </c>
    </row>
    <row r="44" spans="1:26" x14ac:dyDescent="0.3">
      <c r="A44" s="27" t="s">
        <v>69</v>
      </c>
      <c r="B44" s="28">
        <v>2021</v>
      </c>
      <c r="C44" s="29">
        <v>16168055475</v>
      </c>
      <c r="D44" s="29">
        <v>1058440000000</v>
      </c>
      <c r="E44" s="30">
        <v>2.38</v>
      </c>
      <c r="F44" s="29">
        <v>46205728911</v>
      </c>
      <c r="G44" s="29">
        <v>18651030678</v>
      </c>
      <c r="H44" s="29">
        <v>981251000000</v>
      </c>
      <c r="I44" s="29">
        <v>46205728911</v>
      </c>
      <c r="J44" s="31">
        <v>107.87</v>
      </c>
      <c r="K44" s="32">
        <v>509.91</v>
      </c>
      <c r="L44" s="32">
        <v>33381.120000000003</v>
      </c>
      <c r="M44" s="32">
        <v>1457.24</v>
      </c>
      <c r="N44" s="32">
        <v>1457.24</v>
      </c>
      <c r="O44" s="32">
        <v>490</v>
      </c>
      <c r="P44" s="32">
        <v>1430</v>
      </c>
      <c r="Q44" s="32">
        <v>32679.43</v>
      </c>
      <c r="R44" s="33">
        <v>1036190000000</v>
      </c>
      <c r="S44" s="30"/>
      <c r="T44" s="34">
        <v>44.76</v>
      </c>
      <c r="U44" s="33">
        <v>339994000000</v>
      </c>
      <c r="V44" s="35">
        <v>22.91</v>
      </c>
      <c r="W44" s="35">
        <v>65.47</v>
      </c>
      <c r="X44" s="35">
        <v>65.47</v>
      </c>
      <c r="Y44" s="31">
        <v>0.35</v>
      </c>
      <c r="Z44" s="35">
        <v>23.62</v>
      </c>
    </row>
    <row r="45" spans="1:26" x14ac:dyDescent="0.3">
      <c r="A45" s="27" t="s">
        <v>69</v>
      </c>
      <c r="B45" s="28">
        <v>2022</v>
      </c>
      <c r="C45" s="29">
        <v>18883528581</v>
      </c>
      <c r="D45" s="29">
        <v>1205730000000</v>
      </c>
      <c r="E45" s="30">
        <v>4.3600000000000003</v>
      </c>
      <c r="F45" s="29">
        <v>51660358771</v>
      </c>
      <c r="G45" s="29">
        <v>19465045725</v>
      </c>
      <c r="H45" s="29">
        <v>1024080000000</v>
      </c>
      <c r="I45" s="29">
        <v>48222355191</v>
      </c>
      <c r="J45" s="31">
        <v>117.74</v>
      </c>
      <c r="K45" s="32">
        <v>578.25</v>
      </c>
      <c r="L45" s="32">
        <v>36921.85</v>
      </c>
      <c r="M45" s="32">
        <v>1581.94</v>
      </c>
      <c r="N45" s="32">
        <v>1476.67</v>
      </c>
      <c r="O45" s="32">
        <v>500</v>
      </c>
      <c r="P45" s="32">
        <v>1460</v>
      </c>
      <c r="Q45" s="32">
        <v>34141.699999999997</v>
      </c>
      <c r="R45" s="33">
        <v>1114940000000</v>
      </c>
      <c r="S45" s="30">
        <v>89.1</v>
      </c>
      <c r="T45" s="34">
        <v>33.020000000000003</v>
      </c>
      <c r="U45" s="33">
        <v>396664000000</v>
      </c>
      <c r="V45" s="35">
        <v>23.34</v>
      </c>
      <c r="W45" s="35">
        <v>63.85</v>
      </c>
      <c r="X45" s="35">
        <v>63.85</v>
      </c>
      <c r="Y45" s="31">
        <v>0.37</v>
      </c>
      <c r="Z45" s="35">
        <v>24.12</v>
      </c>
    </row>
    <row r="46" spans="1:26" x14ac:dyDescent="0.3">
      <c r="A46" s="27" t="s">
        <v>69</v>
      </c>
      <c r="B46" s="28">
        <v>2023</v>
      </c>
      <c r="C46" s="29">
        <v>20954220984</v>
      </c>
      <c r="D46" s="29">
        <v>1338680000000</v>
      </c>
      <c r="E46" s="30">
        <v>5.44</v>
      </c>
      <c r="F46" s="29">
        <v>56429069635</v>
      </c>
      <c r="G46" s="29">
        <v>20523332839</v>
      </c>
      <c r="H46" s="29">
        <v>1079750000000</v>
      </c>
      <c r="I46" s="29">
        <v>50844136708</v>
      </c>
      <c r="J46" s="31">
        <v>123.98</v>
      </c>
      <c r="K46" s="32">
        <v>622.99</v>
      </c>
      <c r="L46" s="32">
        <v>39799.96</v>
      </c>
      <c r="M46" s="32">
        <v>1677.68</v>
      </c>
      <c r="N46" s="32">
        <v>1511.64</v>
      </c>
      <c r="O46" s="32">
        <v>540</v>
      </c>
      <c r="P46" s="32">
        <v>1530</v>
      </c>
      <c r="Q46" s="32">
        <v>36310.410000000003</v>
      </c>
      <c r="R46" s="33">
        <v>1221310000000</v>
      </c>
      <c r="S46" s="30"/>
      <c r="T46" s="34">
        <v>22.7</v>
      </c>
      <c r="U46" s="33">
        <v>445500000000</v>
      </c>
      <c r="V46" s="35">
        <v>23.72</v>
      </c>
      <c r="W46" s="35">
        <v>63.89</v>
      </c>
      <c r="X46" s="35">
        <v>63.89</v>
      </c>
      <c r="Y46" s="31">
        <v>0.37</v>
      </c>
      <c r="Z46" s="35">
        <v>24.82</v>
      </c>
    </row>
    <row r="47" spans="1:26" x14ac:dyDescent="0.3">
      <c r="A47" s="27" t="s">
        <v>70</v>
      </c>
      <c r="B47" s="28">
        <v>2020</v>
      </c>
      <c r="C47" s="29">
        <v>10174386855</v>
      </c>
      <c r="D47" s="29">
        <v>9597280000000</v>
      </c>
      <c r="E47" s="30">
        <v>-3.37</v>
      </c>
      <c r="F47" s="29">
        <v>29854116562</v>
      </c>
      <c r="G47" s="29">
        <v>10797494132</v>
      </c>
      <c r="H47" s="29">
        <v>8830020000000</v>
      </c>
      <c r="I47" s="29">
        <v>32930056262</v>
      </c>
      <c r="J47" s="31">
        <v>108.69</v>
      </c>
      <c r="K47" s="32">
        <v>778.7</v>
      </c>
      <c r="L47" s="32">
        <v>734532.03</v>
      </c>
      <c r="M47" s="32">
        <v>2284.9</v>
      </c>
      <c r="N47" s="32">
        <v>2520.3200000000002</v>
      </c>
      <c r="O47" s="32">
        <v>770</v>
      </c>
      <c r="P47" s="32">
        <v>2230</v>
      </c>
      <c r="Q47" s="32">
        <v>717442.01</v>
      </c>
      <c r="R47" s="33">
        <v>9373980000000</v>
      </c>
      <c r="S47" s="30"/>
      <c r="T47" s="34">
        <v>2.85</v>
      </c>
      <c r="U47" s="33">
        <v>3211170000000</v>
      </c>
      <c r="V47" s="35">
        <v>321.47000000000003</v>
      </c>
      <c r="W47" s="35">
        <v>943.28</v>
      </c>
      <c r="X47" s="35">
        <v>943.28</v>
      </c>
      <c r="Y47" s="31">
        <v>0.34</v>
      </c>
      <c r="Z47" s="35">
        <v>305.23</v>
      </c>
    </row>
    <row r="48" spans="1:26" x14ac:dyDescent="0.3">
      <c r="A48" s="27" t="s">
        <v>70</v>
      </c>
      <c r="B48" s="28">
        <v>2021</v>
      </c>
      <c r="C48" s="29">
        <v>11078787095</v>
      </c>
      <c r="D48" s="29">
        <v>10952800000000</v>
      </c>
      <c r="E48" s="30">
        <v>10.86</v>
      </c>
      <c r="F48" s="29">
        <v>36505744034</v>
      </c>
      <c r="G48" s="29">
        <v>11969932692</v>
      </c>
      <c r="H48" s="29">
        <v>9788830000000</v>
      </c>
      <c r="I48" s="29">
        <v>36505744034</v>
      </c>
      <c r="J48" s="31">
        <v>111.89</v>
      </c>
      <c r="K48" s="32">
        <v>829.54</v>
      </c>
      <c r="L48" s="32">
        <v>820108.61</v>
      </c>
      <c r="M48" s="32">
        <v>2733.44</v>
      </c>
      <c r="N48" s="32">
        <v>2733.44</v>
      </c>
      <c r="O48" s="32">
        <v>840</v>
      </c>
      <c r="P48" s="32">
        <v>2680</v>
      </c>
      <c r="Q48" s="32">
        <v>803371.93</v>
      </c>
      <c r="R48" s="33">
        <v>10729200000000</v>
      </c>
      <c r="S48" s="30"/>
      <c r="T48" s="34">
        <v>5.71</v>
      </c>
      <c r="U48" s="33">
        <v>3453932000000</v>
      </c>
      <c r="V48" s="35">
        <v>300.02999999999997</v>
      </c>
      <c r="W48" s="35">
        <v>988.62</v>
      </c>
      <c r="X48" s="35">
        <v>988.62</v>
      </c>
      <c r="Y48" s="31">
        <v>0.3</v>
      </c>
      <c r="Z48" s="35">
        <v>291.60000000000002</v>
      </c>
    </row>
    <row r="49" spans="1:26" x14ac:dyDescent="0.3">
      <c r="A49" s="27" t="s">
        <v>70</v>
      </c>
      <c r="B49" s="28">
        <v>2022</v>
      </c>
      <c r="C49" s="29">
        <v>13316161006</v>
      </c>
      <c r="D49" s="29">
        <v>13719800000000</v>
      </c>
      <c r="E49" s="30">
        <v>8.16</v>
      </c>
      <c r="F49" s="29">
        <v>42300132774</v>
      </c>
      <c r="G49" s="29">
        <v>12946823702</v>
      </c>
      <c r="H49" s="29">
        <v>10587700000000</v>
      </c>
      <c r="I49" s="29">
        <v>39485053448</v>
      </c>
      <c r="J49" s="31">
        <v>129.58000000000001</v>
      </c>
      <c r="K49" s="32">
        <v>975.47</v>
      </c>
      <c r="L49" s="32">
        <v>1005034.14</v>
      </c>
      <c r="M49" s="32">
        <v>3098.68</v>
      </c>
      <c r="N49" s="32">
        <v>2892.46</v>
      </c>
      <c r="O49" s="32">
        <v>940</v>
      </c>
      <c r="P49" s="32">
        <v>3030</v>
      </c>
      <c r="Q49" s="32">
        <v>983911.14</v>
      </c>
      <c r="R49" s="33">
        <v>13431400000000</v>
      </c>
      <c r="S49" s="30">
        <v>62.2</v>
      </c>
      <c r="T49" s="34">
        <v>2.68</v>
      </c>
      <c r="U49" s="33">
        <v>4068556000000</v>
      </c>
      <c r="V49" s="35">
        <v>324.33999999999997</v>
      </c>
      <c r="W49" s="35">
        <v>1030.31</v>
      </c>
      <c r="X49" s="35">
        <v>1030.31</v>
      </c>
      <c r="Y49" s="31">
        <v>0.31</v>
      </c>
      <c r="Z49" s="35">
        <v>317.75</v>
      </c>
    </row>
    <row r="50" spans="1:26" x14ac:dyDescent="0.3">
      <c r="A50" s="27" t="s">
        <v>70</v>
      </c>
      <c r="B50" s="28">
        <v>2023</v>
      </c>
      <c r="C50" s="29">
        <v>14331722700</v>
      </c>
      <c r="D50" s="29">
        <v>16626200000000</v>
      </c>
      <c r="E50" s="30">
        <v>8.25</v>
      </c>
      <c r="F50" s="29">
        <v>47437550806</v>
      </c>
      <c r="G50" s="29">
        <v>14014924102</v>
      </c>
      <c r="H50" s="29">
        <v>11461200000000</v>
      </c>
      <c r="I50" s="29">
        <v>42742532065</v>
      </c>
      <c r="J50" s="31">
        <v>145.07</v>
      </c>
      <c r="K50" s="32">
        <v>1027.03</v>
      </c>
      <c r="L50" s="32">
        <v>1191461.3400000001</v>
      </c>
      <c r="M50" s="32">
        <v>3399.45</v>
      </c>
      <c r="N50" s="32">
        <v>3063</v>
      </c>
      <c r="O50" s="32">
        <v>1000</v>
      </c>
      <c r="P50" s="32">
        <v>3330</v>
      </c>
      <c r="Q50" s="32">
        <v>1168170.3899999999</v>
      </c>
      <c r="R50" s="33">
        <v>16301200000000</v>
      </c>
      <c r="S50" s="30"/>
      <c r="T50" s="34">
        <v>3.88</v>
      </c>
      <c r="U50" s="33">
        <v>4492736000000</v>
      </c>
      <c r="V50" s="35">
        <v>350.49</v>
      </c>
      <c r="W50" s="35">
        <v>1160.0999999999999</v>
      </c>
      <c r="X50" s="35">
        <v>1160.0999999999999</v>
      </c>
      <c r="Y50" s="31">
        <v>0.3</v>
      </c>
      <c r="Z50" s="35">
        <v>365.58</v>
      </c>
    </row>
    <row r="51" spans="1:26" x14ac:dyDescent="0.3">
      <c r="A51" s="27" t="s">
        <v>71</v>
      </c>
      <c r="B51" s="28">
        <v>2020</v>
      </c>
      <c r="C51" s="29">
        <v>1382551752</v>
      </c>
      <c r="D51" s="29">
        <v>24355749200</v>
      </c>
      <c r="E51" s="30">
        <v>-11.74</v>
      </c>
      <c r="F51" s="29">
        <v>3057830378</v>
      </c>
      <c r="G51" s="29">
        <v>1678615793</v>
      </c>
      <c r="H51" s="29">
        <v>22575438500</v>
      </c>
      <c r="I51" s="29">
        <v>2959393508</v>
      </c>
      <c r="J51" s="31">
        <v>107.89</v>
      </c>
      <c r="K51" s="32">
        <v>14041.48</v>
      </c>
      <c r="L51" s="32">
        <v>247361.92000000001</v>
      </c>
      <c r="M51" s="32">
        <v>31055.94</v>
      </c>
      <c r="N51" s="32">
        <v>30056.2</v>
      </c>
      <c r="O51" s="32">
        <v>15400</v>
      </c>
      <c r="P51" s="32">
        <v>29950</v>
      </c>
      <c r="Q51" s="32">
        <v>238579.35</v>
      </c>
      <c r="R51" s="33">
        <v>23491000000</v>
      </c>
      <c r="S51" s="30"/>
      <c r="T51" s="34"/>
      <c r="U51" s="33">
        <v>11377000000</v>
      </c>
      <c r="V51" s="35">
        <v>7.97</v>
      </c>
      <c r="W51" s="35">
        <v>17.62</v>
      </c>
      <c r="X51" s="35">
        <v>17.62</v>
      </c>
      <c r="Y51" s="31">
        <v>0.45</v>
      </c>
      <c r="Z51" s="35">
        <v>9.4</v>
      </c>
    </row>
    <row r="52" spans="1:26" x14ac:dyDescent="0.3">
      <c r="A52" s="27" t="s">
        <v>71</v>
      </c>
      <c r="B52" s="28">
        <v>2021</v>
      </c>
      <c r="C52" s="29">
        <v>1487173795</v>
      </c>
      <c r="D52" s="29">
        <v>25163758400</v>
      </c>
      <c r="E52" s="30">
        <v>0.55000000000000004</v>
      </c>
      <c r="F52" s="29">
        <v>2975737695</v>
      </c>
      <c r="G52" s="29">
        <v>1687886479</v>
      </c>
      <c r="H52" s="29">
        <v>22700118500</v>
      </c>
      <c r="I52" s="29">
        <v>2975737695</v>
      </c>
      <c r="J52" s="31">
        <v>110.85</v>
      </c>
      <c r="K52" s="32">
        <v>14982.91</v>
      </c>
      <c r="L52" s="32">
        <v>253518.69</v>
      </c>
      <c r="M52" s="32">
        <v>29979.83</v>
      </c>
      <c r="N52" s="32">
        <v>29979.83</v>
      </c>
      <c r="O52" s="32">
        <v>14950</v>
      </c>
      <c r="P52" s="32">
        <v>28720</v>
      </c>
      <c r="Q52" s="32">
        <v>242892.26</v>
      </c>
      <c r="R52" s="33">
        <v>24109000000</v>
      </c>
      <c r="S52" s="30"/>
      <c r="T52" s="34"/>
      <c r="U52" s="33">
        <v>9771000000</v>
      </c>
      <c r="V52" s="35">
        <v>8.4600000000000009</v>
      </c>
      <c r="W52" s="35">
        <v>16.920000000000002</v>
      </c>
      <c r="X52" s="35">
        <v>16.920000000000002</v>
      </c>
      <c r="Y52" s="31">
        <v>0.5</v>
      </c>
      <c r="Z52" s="35">
        <v>9.83</v>
      </c>
    </row>
    <row r="53" spans="1:26" x14ac:dyDescent="0.3">
      <c r="A53" s="27" t="s">
        <v>71</v>
      </c>
      <c r="B53" s="28">
        <v>2022</v>
      </c>
      <c r="C53" s="29">
        <v>2018346589</v>
      </c>
      <c r="D53" s="29">
        <v>28807447100</v>
      </c>
      <c r="E53" s="30">
        <v>12.71</v>
      </c>
      <c r="F53" s="29">
        <v>3593088409</v>
      </c>
      <c r="G53" s="29">
        <v>1902424765</v>
      </c>
      <c r="H53" s="29">
        <v>25585410000</v>
      </c>
      <c r="I53" s="29">
        <v>3353967909</v>
      </c>
      <c r="J53" s="31">
        <v>112.59</v>
      </c>
      <c r="K53" s="32">
        <v>16836.669999999998</v>
      </c>
      <c r="L53" s="32">
        <v>240306.37</v>
      </c>
      <c r="M53" s="32">
        <v>29972.880000000001</v>
      </c>
      <c r="N53" s="32">
        <v>27978.18</v>
      </c>
      <c r="O53" s="32">
        <v>14700</v>
      </c>
      <c r="P53" s="32">
        <v>29030</v>
      </c>
      <c r="Q53" s="32">
        <v>232757.03</v>
      </c>
      <c r="R53" s="33">
        <v>27902447100</v>
      </c>
      <c r="S53" s="30"/>
      <c r="T53" s="34"/>
      <c r="U53" s="33">
        <v>9016000000</v>
      </c>
      <c r="V53" s="35">
        <v>8.02</v>
      </c>
      <c r="W53" s="35">
        <v>14.27</v>
      </c>
      <c r="X53" s="35">
        <v>14.27</v>
      </c>
      <c r="Y53" s="31">
        <v>0.56000000000000005</v>
      </c>
      <c r="Z53" s="35">
        <v>9.34</v>
      </c>
    </row>
    <row r="54" spans="1:26" x14ac:dyDescent="0.3">
      <c r="A54" s="27" t="s">
        <v>71</v>
      </c>
      <c r="B54" s="28">
        <v>2023</v>
      </c>
      <c r="C54" s="29">
        <v>2187379755</v>
      </c>
      <c r="D54" s="29">
        <v>30662932200</v>
      </c>
      <c r="E54" s="30">
        <v>2.2599999999999998</v>
      </c>
      <c r="F54" s="29">
        <v>3806479822</v>
      </c>
      <c r="G54" s="29">
        <v>1945405358</v>
      </c>
      <c r="H54" s="29">
        <v>26163449200</v>
      </c>
      <c r="I54" s="29">
        <v>3429742537</v>
      </c>
      <c r="J54" s="31">
        <v>117.2</v>
      </c>
      <c r="K54" s="32">
        <v>18262.71</v>
      </c>
      <c r="L54" s="32">
        <v>256008.72</v>
      </c>
      <c r="M54" s="32">
        <v>31780.78</v>
      </c>
      <c r="N54" s="32">
        <v>28635.360000000001</v>
      </c>
      <c r="O54" s="32">
        <v>16400</v>
      </c>
      <c r="P54" s="32">
        <v>30920</v>
      </c>
      <c r="Q54" s="32">
        <v>249062.24</v>
      </c>
      <c r="R54" s="33">
        <v>29830932200</v>
      </c>
      <c r="S54" s="30"/>
      <c r="T54" s="34"/>
      <c r="U54" s="33">
        <v>10077000000</v>
      </c>
      <c r="V54" s="35">
        <v>8.06</v>
      </c>
      <c r="W54" s="35">
        <v>14.02</v>
      </c>
      <c r="X54" s="35">
        <v>14.02</v>
      </c>
      <c r="Y54" s="31">
        <v>0.56999999999999995</v>
      </c>
      <c r="Z54" s="35">
        <v>8.8800000000000008</v>
      </c>
    </row>
    <row r="55" spans="1:26" x14ac:dyDescent="0.3">
      <c r="A55" s="27" t="s">
        <v>72</v>
      </c>
      <c r="B55" s="28">
        <v>2020</v>
      </c>
      <c r="C55" s="29">
        <v>8628393720</v>
      </c>
      <c r="D55" s="29">
        <v>222278000000000</v>
      </c>
      <c r="E55" s="30">
        <v>-2.75</v>
      </c>
      <c r="F55" s="29">
        <v>24216384567</v>
      </c>
      <c r="G55" s="29">
        <v>7710043010</v>
      </c>
      <c r="H55" s="29">
        <v>257590000000000</v>
      </c>
      <c r="I55" s="29">
        <v>23245952366</v>
      </c>
      <c r="J55" s="31">
        <v>86.29</v>
      </c>
      <c r="K55" s="32">
        <v>518.17999999999995</v>
      </c>
      <c r="L55" s="32">
        <v>1349046.17</v>
      </c>
      <c r="M55" s="32">
        <v>1454.33</v>
      </c>
      <c r="N55" s="32">
        <v>1396.05</v>
      </c>
      <c r="O55" s="32">
        <v>500</v>
      </c>
      <c r="P55" s="32">
        <v>1450</v>
      </c>
      <c r="Q55" s="32">
        <v>13290205.59</v>
      </c>
      <c r="R55" s="33">
        <v>221298000000000</v>
      </c>
      <c r="S55" s="30"/>
      <c r="T55" s="34">
        <v>9.56</v>
      </c>
      <c r="U55" s="33">
        <v>472000000</v>
      </c>
      <c r="V55" s="35">
        <v>9178.81</v>
      </c>
      <c r="W55" s="35">
        <v>25761.17</v>
      </c>
      <c r="X55" s="35"/>
      <c r="Y55" s="31">
        <v>0.36</v>
      </c>
      <c r="Z55" s="35">
        <v>10373.879999999999</v>
      </c>
    </row>
    <row r="56" spans="1:26" x14ac:dyDescent="0.3">
      <c r="A56" s="27" t="s">
        <v>72</v>
      </c>
      <c r="B56" s="28">
        <v>2021</v>
      </c>
      <c r="C56" s="29">
        <v>9483997390</v>
      </c>
      <c r="D56" s="29">
        <v>246954000000000</v>
      </c>
      <c r="E56" s="30">
        <v>3.46</v>
      </c>
      <c r="F56" s="29">
        <v>24049850384</v>
      </c>
      <c r="G56" s="29">
        <v>7976673871</v>
      </c>
      <c r="H56" s="29">
        <v>264498000000000</v>
      </c>
      <c r="I56" s="29">
        <v>24049850384</v>
      </c>
      <c r="J56" s="31">
        <v>92.67</v>
      </c>
      <c r="K56" s="32">
        <v>549.11</v>
      </c>
      <c r="L56" s="32">
        <v>14298404.279999999</v>
      </c>
      <c r="M56" s="32">
        <v>1392.46</v>
      </c>
      <c r="N56" s="32">
        <v>1392.46</v>
      </c>
      <c r="O56" s="32">
        <v>540</v>
      </c>
      <c r="P56" s="32">
        <v>1390</v>
      </c>
      <c r="Q56" s="32">
        <v>14235064.16</v>
      </c>
      <c r="R56" s="33">
        <v>245860000000000</v>
      </c>
      <c r="S56" s="30"/>
      <c r="T56" s="34">
        <v>0.18</v>
      </c>
      <c r="U56" s="33">
        <v>460000000</v>
      </c>
      <c r="V56" s="35">
        <v>10268.42</v>
      </c>
      <c r="W56" s="35">
        <v>26039.01</v>
      </c>
      <c r="X56" s="35"/>
      <c r="Y56" s="31">
        <v>0.39</v>
      </c>
      <c r="Z56" s="35">
        <v>10392.25</v>
      </c>
    </row>
    <row r="57" spans="1:26" x14ac:dyDescent="0.3">
      <c r="A57" s="27" t="s">
        <v>72</v>
      </c>
      <c r="B57" s="28">
        <v>2022</v>
      </c>
      <c r="C57" s="29">
        <v>10202767270</v>
      </c>
      <c r="D57" s="29">
        <v>273766000000000</v>
      </c>
      <c r="E57" s="30">
        <v>2.73</v>
      </c>
      <c r="F57" s="29">
        <v>26467106676</v>
      </c>
      <c r="G57" s="29">
        <v>8194206885</v>
      </c>
      <c r="H57" s="29">
        <v>273766000000000</v>
      </c>
      <c r="I57" s="29">
        <v>24705717292</v>
      </c>
      <c r="J57" s="31">
        <v>100</v>
      </c>
      <c r="K57" s="32">
        <v>573.13</v>
      </c>
      <c r="L57" s="32">
        <v>15378471</v>
      </c>
      <c r="M57" s="32">
        <v>1486.76</v>
      </c>
      <c r="N57" s="32">
        <v>1387.81</v>
      </c>
      <c r="O57" s="32">
        <v>570</v>
      </c>
      <c r="P57" s="32">
        <v>1480</v>
      </c>
      <c r="Q57" s="32">
        <v>15312150.49</v>
      </c>
      <c r="R57" s="33">
        <v>272585000000000</v>
      </c>
      <c r="S57" s="30"/>
      <c r="T57" s="34">
        <v>0.2</v>
      </c>
      <c r="U57" s="33">
        <v>720000000</v>
      </c>
      <c r="V57" s="35">
        <v>10343.629999999999</v>
      </c>
      <c r="W57" s="35">
        <v>26832.52</v>
      </c>
      <c r="X57" s="35"/>
      <c r="Y57" s="31">
        <v>0.39</v>
      </c>
      <c r="Z57" s="35"/>
    </row>
    <row r="58" spans="1:26" x14ac:dyDescent="0.3">
      <c r="A58" s="27" t="s">
        <v>72</v>
      </c>
      <c r="B58" s="28">
        <v>2023</v>
      </c>
      <c r="C58" s="29">
        <v>10968517090</v>
      </c>
      <c r="D58" s="29">
        <v>298621000000000</v>
      </c>
      <c r="E58" s="30">
        <v>4.22</v>
      </c>
      <c r="F58" s="29">
        <v>28575608117</v>
      </c>
      <c r="G58" s="29">
        <v>8539706139</v>
      </c>
      <c r="H58" s="29">
        <v>285309000000000</v>
      </c>
      <c r="I58" s="29">
        <v>25747405283</v>
      </c>
      <c r="J58" s="31">
        <v>104.67</v>
      </c>
      <c r="K58" s="32">
        <v>597.46</v>
      </c>
      <c r="L58" s="32">
        <v>16266002.529999999</v>
      </c>
      <c r="M58" s="32">
        <v>1556.52</v>
      </c>
      <c r="N58" s="32">
        <v>1402.47</v>
      </c>
      <c r="O58" s="32">
        <v>590</v>
      </c>
      <c r="P58" s="32">
        <v>1550</v>
      </c>
      <c r="Q58" s="32">
        <v>16203717.710000001</v>
      </c>
      <c r="R58" s="33">
        <v>297478000000000</v>
      </c>
      <c r="S58" s="30"/>
      <c r="T58" s="34">
        <v>3.32</v>
      </c>
      <c r="U58" s="33">
        <v>733000000</v>
      </c>
      <c r="V58" s="35">
        <v>10450.219999999999</v>
      </c>
      <c r="W58" s="35">
        <v>27225.31</v>
      </c>
      <c r="X58" s="35"/>
      <c r="Y58" s="31">
        <v>0.38</v>
      </c>
      <c r="Z58" s="35"/>
    </row>
    <row r="59" spans="1:26" x14ac:dyDescent="0.3">
      <c r="A59" s="27" t="s">
        <v>73</v>
      </c>
      <c r="B59" s="28">
        <v>2020</v>
      </c>
      <c r="C59" s="29"/>
      <c r="D59" s="29"/>
      <c r="E59" s="30"/>
      <c r="F59" s="29"/>
      <c r="G59" s="29"/>
      <c r="H59" s="29"/>
      <c r="I59" s="29"/>
      <c r="J59" s="31"/>
      <c r="K59" s="32"/>
      <c r="L59" s="32"/>
      <c r="M59" s="32"/>
      <c r="N59" s="32"/>
      <c r="O59" s="32"/>
      <c r="P59" s="32"/>
      <c r="Q59" s="32"/>
      <c r="R59" s="33"/>
      <c r="S59" s="30"/>
      <c r="T59" s="34"/>
      <c r="U59" s="33">
        <v>30814000000</v>
      </c>
      <c r="V59" s="35"/>
      <c r="W59" s="35">
        <v>161.02000000000001</v>
      </c>
      <c r="X59" s="35">
        <v>165.91</v>
      </c>
      <c r="Y59" s="31"/>
      <c r="Z59" s="35"/>
    </row>
    <row r="60" spans="1:26" x14ac:dyDescent="0.3">
      <c r="A60" s="27" t="s">
        <v>73</v>
      </c>
      <c r="B60" s="28">
        <v>2021</v>
      </c>
      <c r="C60" s="29"/>
      <c r="D60" s="29"/>
      <c r="E60" s="30"/>
      <c r="F60" s="29"/>
      <c r="G60" s="29"/>
      <c r="H60" s="29"/>
      <c r="I60" s="29"/>
      <c r="J60" s="31"/>
      <c r="K60" s="32"/>
      <c r="L60" s="32"/>
      <c r="M60" s="32"/>
      <c r="N60" s="32"/>
      <c r="O60" s="32"/>
      <c r="P60" s="32"/>
      <c r="Q60" s="32"/>
      <c r="R60" s="33"/>
      <c r="S60" s="30"/>
      <c r="T60" s="34"/>
      <c r="U60" s="33">
        <v>810721000000</v>
      </c>
      <c r="V60" s="35">
        <v>126.74</v>
      </c>
      <c r="W60" s="35">
        <v>190.2</v>
      </c>
      <c r="X60" s="35">
        <v>306.35000000000002</v>
      </c>
      <c r="Y60" s="31">
        <v>0.67</v>
      </c>
      <c r="Z60" s="35">
        <v>158.05000000000001</v>
      </c>
    </row>
    <row r="61" spans="1:26" x14ac:dyDescent="0.3">
      <c r="A61" s="27" t="s">
        <v>73</v>
      </c>
      <c r="B61" s="28">
        <v>2022</v>
      </c>
      <c r="C61" s="29"/>
      <c r="D61" s="29"/>
      <c r="E61" s="30"/>
      <c r="F61" s="29"/>
      <c r="G61" s="29"/>
      <c r="H61" s="29"/>
      <c r="I61" s="29"/>
      <c r="J61" s="31"/>
      <c r="K61" s="32"/>
      <c r="L61" s="32"/>
      <c r="M61" s="32"/>
      <c r="N61" s="32"/>
      <c r="O61" s="32"/>
      <c r="P61" s="32"/>
      <c r="Q61" s="32"/>
      <c r="R61" s="33"/>
      <c r="S61" s="30"/>
      <c r="T61" s="34"/>
      <c r="U61" s="33">
        <v>1186283000000</v>
      </c>
      <c r="V61" s="35"/>
      <c r="W61" s="35">
        <v>422.49</v>
      </c>
      <c r="X61" s="35">
        <v>534.51</v>
      </c>
      <c r="Y61" s="31"/>
      <c r="Z61" s="35"/>
    </row>
    <row r="62" spans="1:26" x14ac:dyDescent="0.3">
      <c r="A62" s="27" t="s">
        <v>73</v>
      </c>
      <c r="B62" s="28">
        <v>2023</v>
      </c>
      <c r="C62" s="29"/>
      <c r="D62" s="29"/>
      <c r="E62" s="30"/>
      <c r="F62" s="29"/>
      <c r="G62" s="29"/>
      <c r="H62" s="29"/>
      <c r="I62" s="29"/>
      <c r="J62" s="31"/>
      <c r="K62" s="32"/>
      <c r="L62" s="32"/>
      <c r="M62" s="32"/>
      <c r="N62" s="32"/>
      <c r="O62" s="32"/>
      <c r="P62" s="32"/>
      <c r="Q62" s="32"/>
      <c r="R62" s="33"/>
      <c r="S62" s="30"/>
      <c r="T62" s="34"/>
      <c r="U62" s="33">
        <v>1478329000000</v>
      </c>
      <c r="V62" s="35"/>
      <c r="W62" s="35">
        <v>730.83</v>
      </c>
      <c r="X62" s="35">
        <v>930.33</v>
      </c>
      <c r="Y62" s="31"/>
      <c r="Z62" s="35"/>
    </row>
    <row r="63" spans="1:26" x14ac:dyDescent="0.3">
      <c r="A63" s="27" t="s">
        <v>74</v>
      </c>
      <c r="B63" s="28">
        <v>2020</v>
      </c>
      <c r="C63" s="29">
        <v>37600368240</v>
      </c>
      <c r="D63" s="29">
        <v>139689000000000</v>
      </c>
      <c r="E63" s="30">
        <v>2.95</v>
      </c>
      <c r="F63" s="29">
        <v>112575000000</v>
      </c>
      <c r="G63" s="29">
        <v>40768765796</v>
      </c>
      <c r="H63" s="29">
        <v>126410000000000</v>
      </c>
      <c r="I63" s="29">
        <v>119057000000</v>
      </c>
      <c r="J63" s="31">
        <v>110.5</v>
      </c>
      <c r="K63" s="32">
        <v>845.77</v>
      </c>
      <c r="L63" s="32">
        <v>3142105.12</v>
      </c>
      <c r="M63" s="32">
        <v>2532.2199999999998</v>
      </c>
      <c r="N63" s="32">
        <v>2678.01</v>
      </c>
      <c r="O63" s="32">
        <v>820</v>
      </c>
      <c r="P63" s="32">
        <v>2480</v>
      </c>
      <c r="Q63" s="32">
        <v>3077785.06</v>
      </c>
      <c r="R63" s="33">
        <v>136830000000000</v>
      </c>
      <c r="S63" s="30"/>
      <c r="T63" s="34">
        <v>1.88</v>
      </c>
      <c r="U63" s="33">
        <v>30271076000000</v>
      </c>
      <c r="V63" s="35">
        <v>1240.8499999999999</v>
      </c>
      <c r="W63" s="35">
        <v>3715.1</v>
      </c>
      <c r="X63" s="35">
        <v>3718.25</v>
      </c>
      <c r="Y63" s="31">
        <v>0.33</v>
      </c>
      <c r="Z63" s="35">
        <v>1315.93</v>
      </c>
    </row>
    <row r="64" spans="1:26" x14ac:dyDescent="0.3">
      <c r="A64" s="27" t="s">
        <v>74</v>
      </c>
      <c r="B64" s="28">
        <v>2021</v>
      </c>
      <c r="C64" s="29">
        <v>40529788744</v>
      </c>
      <c r="D64" s="29">
        <v>148310000000000</v>
      </c>
      <c r="E64" s="30">
        <v>3.54</v>
      </c>
      <c r="F64" s="29">
        <v>123267000000</v>
      </c>
      <c r="G64" s="29">
        <v>42210585953</v>
      </c>
      <c r="H64" s="29">
        <v>130881000000000</v>
      </c>
      <c r="I64" s="29">
        <v>123267000000</v>
      </c>
      <c r="J64" s="31">
        <v>113.32</v>
      </c>
      <c r="K64" s="32">
        <v>882.79</v>
      </c>
      <c r="L64" s="32">
        <v>3230390.84</v>
      </c>
      <c r="M64" s="32">
        <v>2684.92</v>
      </c>
      <c r="N64" s="32">
        <v>2684.92</v>
      </c>
      <c r="O64" s="32">
        <v>860</v>
      </c>
      <c r="P64" s="32">
        <v>2630</v>
      </c>
      <c r="Q64" s="32">
        <v>3159743.6</v>
      </c>
      <c r="R64" s="33">
        <v>145067000000000</v>
      </c>
      <c r="S64" s="30"/>
      <c r="T64" s="34">
        <v>1.95</v>
      </c>
      <c r="U64" s="33">
        <v>33726522000000</v>
      </c>
      <c r="V64" s="35">
        <v>1203.1600000000001</v>
      </c>
      <c r="W64" s="35">
        <v>3659.29</v>
      </c>
      <c r="X64" s="35">
        <v>3587.05</v>
      </c>
      <c r="Y64" s="31">
        <v>0.33</v>
      </c>
      <c r="Z64" s="35">
        <v>1315.27</v>
      </c>
    </row>
    <row r="65" spans="1:26" x14ac:dyDescent="0.3">
      <c r="A65" s="27" t="s">
        <v>74</v>
      </c>
      <c r="B65" s="28">
        <v>2022</v>
      </c>
      <c r="C65" s="29">
        <v>45565333216</v>
      </c>
      <c r="D65" s="29">
        <v>162750000000000</v>
      </c>
      <c r="E65" s="30">
        <v>4.59</v>
      </c>
      <c r="F65" s="29">
        <v>138114000000</v>
      </c>
      <c r="G65" s="29">
        <v>44147216890</v>
      </c>
      <c r="H65" s="29">
        <v>136886000000000</v>
      </c>
      <c r="I65" s="29">
        <v>128923000000</v>
      </c>
      <c r="J65" s="31">
        <v>118.89</v>
      </c>
      <c r="K65" s="32">
        <v>963.07</v>
      </c>
      <c r="L65" s="32">
        <v>3439877.28</v>
      </c>
      <c r="M65" s="32">
        <v>2919.18</v>
      </c>
      <c r="N65" s="32">
        <v>2724.91</v>
      </c>
      <c r="O65" s="32">
        <v>930</v>
      </c>
      <c r="P65" s="32">
        <v>2860</v>
      </c>
      <c r="Q65" s="32">
        <v>3366667.98</v>
      </c>
      <c r="R65" s="33">
        <v>159286000000000</v>
      </c>
      <c r="S65" s="30"/>
      <c r="T65" s="34">
        <v>2.09</v>
      </c>
      <c r="U65" s="33">
        <v>33979770000000</v>
      </c>
      <c r="V65" s="35">
        <v>1178.3699999999999</v>
      </c>
      <c r="W65" s="35">
        <v>3571.79</v>
      </c>
      <c r="X65" s="35">
        <v>3689.82</v>
      </c>
      <c r="Y65" s="31">
        <v>0.33</v>
      </c>
      <c r="Z65" s="35">
        <v>1305.44</v>
      </c>
    </row>
    <row r="66" spans="1:26" x14ac:dyDescent="0.3">
      <c r="A66" s="27" t="s">
        <v>74</v>
      </c>
      <c r="B66" s="28">
        <v>2023</v>
      </c>
      <c r="C66" s="29">
        <v>48768955859</v>
      </c>
      <c r="D66" s="29">
        <v>183004000000000</v>
      </c>
      <c r="E66" s="30">
        <v>5.34</v>
      </c>
      <c r="F66" s="29">
        <v>150720000000</v>
      </c>
      <c r="G66" s="29">
        <v>46503341915</v>
      </c>
      <c r="H66" s="29">
        <v>144191000000000</v>
      </c>
      <c r="I66" s="29">
        <v>135803000000</v>
      </c>
      <c r="J66" s="31">
        <v>126.92</v>
      </c>
      <c r="K66" s="32">
        <v>1002.31</v>
      </c>
      <c r="L66" s="32">
        <v>3761142.02</v>
      </c>
      <c r="M66" s="32">
        <v>3097.64</v>
      </c>
      <c r="N66" s="32">
        <v>2791.06</v>
      </c>
      <c r="O66" s="32">
        <v>970</v>
      </c>
      <c r="P66" s="32">
        <v>3020</v>
      </c>
      <c r="Q66" s="32">
        <v>3666392.9</v>
      </c>
      <c r="R66" s="33">
        <v>178394000000000</v>
      </c>
      <c r="S66" s="30"/>
      <c r="T66" s="34">
        <v>4.99</v>
      </c>
      <c r="U66" s="33">
        <v>37342452000000</v>
      </c>
      <c r="V66" s="35">
        <v>1214.2</v>
      </c>
      <c r="W66" s="35">
        <v>3752.48</v>
      </c>
      <c r="X66" s="35">
        <v>3726.14</v>
      </c>
      <c r="Y66" s="31">
        <v>0.32</v>
      </c>
      <c r="Z66" s="35">
        <v>1320.92</v>
      </c>
    </row>
    <row r="67" spans="1:26" x14ac:dyDescent="0.3">
      <c r="A67" s="27" t="s">
        <v>75</v>
      </c>
      <c r="B67" s="28">
        <v>2020</v>
      </c>
      <c r="C67" s="29">
        <v>66068737786</v>
      </c>
      <c r="D67" s="29">
        <v>151571000000000</v>
      </c>
      <c r="E67" s="30">
        <v>1.99</v>
      </c>
      <c r="F67" s="29">
        <v>194562000000</v>
      </c>
      <c r="G67" s="29">
        <v>61565931105</v>
      </c>
      <c r="H67" s="29">
        <v>122511000000000</v>
      </c>
      <c r="I67" s="29">
        <v>203976000000</v>
      </c>
      <c r="J67" s="31">
        <v>123.72</v>
      </c>
      <c r="K67" s="32">
        <v>1117.42</v>
      </c>
      <c r="L67" s="32">
        <v>2563514</v>
      </c>
      <c r="M67" s="32">
        <v>3290.61</v>
      </c>
      <c r="N67" s="32">
        <v>3449.82</v>
      </c>
      <c r="O67" s="32">
        <v>1060</v>
      </c>
      <c r="P67" s="32">
        <v>3230</v>
      </c>
      <c r="Q67" s="32">
        <v>2514446.75</v>
      </c>
      <c r="R67" s="33">
        <v>148670000000000</v>
      </c>
      <c r="S67" s="30"/>
      <c r="T67" s="34">
        <v>1.96</v>
      </c>
      <c r="U67" s="33">
        <v>25356724000000</v>
      </c>
      <c r="V67" s="35">
        <v>779.04</v>
      </c>
      <c r="W67" s="35">
        <v>2294.15</v>
      </c>
      <c r="X67" s="35">
        <v>2294.15</v>
      </c>
      <c r="Y67" s="31">
        <v>0.34</v>
      </c>
      <c r="Z67" s="35">
        <v>694.78</v>
      </c>
    </row>
    <row r="68" spans="1:26" x14ac:dyDescent="0.3">
      <c r="A68" s="27" t="s">
        <v>75</v>
      </c>
      <c r="B68" s="28">
        <v>2021</v>
      </c>
      <c r="C68" s="29">
        <v>70655628148</v>
      </c>
      <c r="D68" s="29">
        <v>162350000000000</v>
      </c>
      <c r="E68" s="30">
        <v>4.32</v>
      </c>
      <c r="F68" s="29">
        <v>212790000000</v>
      </c>
      <c r="G68" s="29">
        <v>64226431583</v>
      </c>
      <c r="H68" s="29">
        <v>127805000000000</v>
      </c>
      <c r="I68" s="29">
        <v>212790000000</v>
      </c>
      <c r="J68" s="31">
        <v>127.03</v>
      </c>
      <c r="K68" s="32">
        <v>1159.8599999999999</v>
      </c>
      <c r="L68" s="32">
        <v>2665077</v>
      </c>
      <c r="M68" s="32">
        <v>3493.08</v>
      </c>
      <c r="N68" s="32">
        <v>3493.08</v>
      </c>
      <c r="O68" s="32">
        <v>1130</v>
      </c>
      <c r="P68" s="32">
        <v>3430</v>
      </c>
      <c r="Q68" s="32">
        <v>2620133</v>
      </c>
      <c r="R68" s="33">
        <v>159612000000000</v>
      </c>
      <c r="S68" s="30"/>
      <c r="T68" s="34">
        <v>2.82</v>
      </c>
      <c r="U68" s="33">
        <v>28738012000000</v>
      </c>
      <c r="V68" s="35">
        <v>762.96</v>
      </c>
      <c r="W68" s="35">
        <v>2297.7600000000002</v>
      </c>
      <c r="X68" s="35">
        <v>2297.7600000000002</v>
      </c>
      <c r="Y68" s="31">
        <v>0.33</v>
      </c>
      <c r="Z68" s="35">
        <v>681.85</v>
      </c>
    </row>
    <row r="69" spans="1:26" x14ac:dyDescent="0.3">
      <c r="A69" s="27" t="s">
        <v>75</v>
      </c>
      <c r="B69" s="28">
        <v>2022</v>
      </c>
      <c r="C69" s="29">
        <v>75769974505</v>
      </c>
      <c r="D69" s="29">
        <v>174453000000000</v>
      </c>
      <c r="E69" s="30">
        <v>4.57</v>
      </c>
      <c r="F69" s="29">
        <v>238370000000</v>
      </c>
      <c r="G69" s="29">
        <v>67159014151</v>
      </c>
      <c r="H69" s="29">
        <v>133640000000000</v>
      </c>
      <c r="I69" s="29">
        <v>222506000000</v>
      </c>
      <c r="J69" s="31">
        <v>130.54</v>
      </c>
      <c r="K69" s="32">
        <v>1207.8499999999999</v>
      </c>
      <c r="L69" s="32">
        <v>2780960.75</v>
      </c>
      <c r="M69" s="32">
        <v>3799.86</v>
      </c>
      <c r="N69" s="32">
        <v>3546.98</v>
      </c>
      <c r="O69" s="32">
        <v>1210</v>
      </c>
      <c r="P69" s="32">
        <v>3730</v>
      </c>
      <c r="Q69" s="32">
        <v>2729809.5</v>
      </c>
      <c r="R69" s="33">
        <v>171244000000000</v>
      </c>
      <c r="S69" s="30"/>
      <c r="T69" s="34">
        <v>2.68</v>
      </c>
      <c r="U69" s="33">
        <v>32661233000000</v>
      </c>
      <c r="V69" s="35">
        <v>731.86</v>
      </c>
      <c r="W69" s="35">
        <v>2302.4</v>
      </c>
      <c r="X69" s="35">
        <v>2303.0300000000002</v>
      </c>
      <c r="Y69" s="31">
        <v>0.32</v>
      </c>
      <c r="Z69" s="35">
        <v>658.79</v>
      </c>
    </row>
    <row r="70" spans="1:26" x14ac:dyDescent="0.3">
      <c r="A70" s="27" t="s">
        <v>75</v>
      </c>
      <c r="B70" s="28">
        <v>2023</v>
      </c>
      <c r="C70" s="29">
        <v>79062403837</v>
      </c>
      <c r="D70" s="29">
        <v>183334000000000</v>
      </c>
      <c r="E70" s="30">
        <v>5.07</v>
      </c>
      <c r="F70" s="29">
        <v>259466000000</v>
      </c>
      <c r="G70" s="29">
        <v>70563656178</v>
      </c>
      <c r="H70" s="29">
        <v>140415000000000</v>
      </c>
      <c r="I70" s="29">
        <v>233786000000</v>
      </c>
      <c r="J70" s="31">
        <v>134.13</v>
      </c>
      <c r="K70" s="32">
        <v>1224.49</v>
      </c>
      <c r="L70" s="32">
        <v>2916849.5</v>
      </c>
      <c r="M70" s="32">
        <v>4018.52</v>
      </c>
      <c r="N70" s="32">
        <v>3620.79</v>
      </c>
      <c r="O70" s="32">
        <v>1220</v>
      </c>
      <c r="P70" s="32">
        <v>3940</v>
      </c>
      <c r="Q70" s="32">
        <v>2861169.25</v>
      </c>
      <c r="R70" s="33">
        <v>184739000000000</v>
      </c>
      <c r="S70" s="30"/>
      <c r="T70" s="34">
        <v>2.89</v>
      </c>
      <c r="U70" s="33">
        <v>35499690000000</v>
      </c>
      <c r="V70" s="35">
        <v>725.85</v>
      </c>
      <c r="W70" s="35">
        <v>2382.09</v>
      </c>
      <c r="X70" s="35">
        <v>2383.04</v>
      </c>
      <c r="Y70" s="31">
        <v>0.3</v>
      </c>
      <c r="Z70" s="35">
        <v>656.79</v>
      </c>
    </row>
    <row r="71" spans="1:26" x14ac:dyDescent="0.3">
      <c r="A71" s="27" t="s">
        <v>76</v>
      </c>
      <c r="B71" s="28">
        <v>2020</v>
      </c>
      <c r="C71" s="29">
        <v>18137764931</v>
      </c>
      <c r="D71" s="29">
        <v>332721000000</v>
      </c>
      <c r="E71" s="30">
        <v>-2.79</v>
      </c>
      <c r="F71" s="29">
        <v>60176229608</v>
      </c>
      <c r="G71" s="29">
        <v>23418945737</v>
      </c>
      <c r="H71" s="29">
        <v>137755000000</v>
      </c>
      <c r="I71" s="29">
        <v>64641756629</v>
      </c>
      <c r="J71" s="31">
        <v>241.53</v>
      </c>
      <c r="K71" s="32">
        <v>951.64</v>
      </c>
      <c r="L71" s="32">
        <v>17457.05</v>
      </c>
      <c r="M71" s="32">
        <v>3157.3</v>
      </c>
      <c r="N71" s="32">
        <v>3391.6</v>
      </c>
      <c r="O71" s="32">
        <v>1120</v>
      </c>
      <c r="P71" s="32">
        <v>3070</v>
      </c>
      <c r="Q71" s="32">
        <v>16967.18</v>
      </c>
      <c r="R71" s="33">
        <v>323338000000</v>
      </c>
      <c r="S71" s="30"/>
      <c r="T71" s="34">
        <v>11.61</v>
      </c>
      <c r="U71" s="33">
        <v>113227000000</v>
      </c>
      <c r="V71" s="35">
        <v>5.53</v>
      </c>
      <c r="W71" s="35">
        <v>18.34</v>
      </c>
      <c r="X71" s="35">
        <v>18.34</v>
      </c>
      <c r="Y71" s="31">
        <v>0.3</v>
      </c>
      <c r="Z71" s="35">
        <v>5.36</v>
      </c>
    </row>
    <row r="72" spans="1:26" x14ac:dyDescent="0.3">
      <c r="A72" s="27" t="s">
        <v>76</v>
      </c>
      <c r="B72" s="28">
        <v>2021</v>
      </c>
      <c r="C72" s="29">
        <v>22096416932</v>
      </c>
      <c r="D72" s="29">
        <v>442337000000</v>
      </c>
      <c r="E72" s="30">
        <v>6.23</v>
      </c>
      <c r="F72" s="29">
        <v>68672119765</v>
      </c>
      <c r="G72" s="29">
        <v>24879098748</v>
      </c>
      <c r="H72" s="29">
        <v>146344000000</v>
      </c>
      <c r="I72" s="29">
        <v>68672119765</v>
      </c>
      <c r="J72" s="31">
        <v>302.26</v>
      </c>
      <c r="K72" s="32">
        <v>1127.1600000000001</v>
      </c>
      <c r="L72" s="32">
        <v>22564.05</v>
      </c>
      <c r="M72" s="32">
        <v>3503.03</v>
      </c>
      <c r="N72" s="32">
        <v>3503.03</v>
      </c>
      <c r="O72" s="32">
        <v>1040</v>
      </c>
      <c r="P72" s="32">
        <v>3200</v>
      </c>
      <c r="Q72" s="32">
        <v>20601.54</v>
      </c>
      <c r="R72" s="33">
        <v>403864000000</v>
      </c>
      <c r="S72" s="30"/>
      <c r="T72" s="34">
        <v>8.5399999999999991</v>
      </c>
      <c r="U72" s="33">
        <v>134929000000</v>
      </c>
      <c r="V72" s="35">
        <v>6.44</v>
      </c>
      <c r="W72" s="35">
        <v>20.02</v>
      </c>
      <c r="X72" s="35">
        <v>20.02</v>
      </c>
      <c r="Y72" s="31">
        <v>0.32</v>
      </c>
      <c r="Z72" s="35">
        <v>6.19</v>
      </c>
    </row>
    <row r="73" spans="1:26" x14ac:dyDescent="0.3">
      <c r="A73" s="27" t="s">
        <v>76</v>
      </c>
      <c r="B73" s="28">
        <v>2022</v>
      </c>
      <c r="C73" s="29">
        <v>29163782140</v>
      </c>
      <c r="D73" s="29">
        <v>493964000000</v>
      </c>
      <c r="E73" s="30">
        <v>5.21</v>
      </c>
      <c r="F73" s="29">
        <v>77401882827</v>
      </c>
      <c r="G73" s="29">
        <v>26175604214</v>
      </c>
      <c r="H73" s="29">
        <v>153970000000</v>
      </c>
      <c r="I73" s="29">
        <v>72250777479</v>
      </c>
      <c r="J73" s="31">
        <v>320.82</v>
      </c>
      <c r="K73" s="32">
        <v>1447.12</v>
      </c>
      <c r="L73" s="32">
        <v>24510.78</v>
      </c>
      <c r="M73" s="32">
        <v>3840.72</v>
      </c>
      <c r="N73" s="32">
        <v>3585.12</v>
      </c>
      <c r="O73" s="32">
        <v>1160</v>
      </c>
      <c r="P73" s="32">
        <v>3610</v>
      </c>
      <c r="Q73" s="32">
        <v>23041.98</v>
      </c>
      <c r="R73" s="33">
        <v>464364000000</v>
      </c>
      <c r="S73" s="30">
        <v>81.400000000000006</v>
      </c>
      <c r="T73" s="34">
        <v>5.34</v>
      </c>
      <c r="U73" s="33">
        <v>139315000000</v>
      </c>
      <c r="V73" s="35">
        <v>6.38</v>
      </c>
      <c r="W73" s="35">
        <v>16.940000000000001</v>
      </c>
      <c r="X73" s="35">
        <v>16.940000000000001</v>
      </c>
      <c r="Y73" s="31">
        <v>0.38</v>
      </c>
      <c r="Z73" s="35">
        <v>6.36</v>
      </c>
    </row>
    <row r="74" spans="1:26" x14ac:dyDescent="0.3">
      <c r="A74" s="27" t="s">
        <v>76</v>
      </c>
      <c r="B74" s="28">
        <v>2023</v>
      </c>
      <c r="C74" s="29">
        <v>27577956471</v>
      </c>
      <c r="D74" s="29">
        <v>557406000000</v>
      </c>
      <c r="E74" s="30">
        <v>5.37</v>
      </c>
      <c r="F74" s="29">
        <v>84491503485</v>
      </c>
      <c r="G74" s="29">
        <v>27580695690</v>
      </c>
      <c r="H74" s="29">
        <v>162235000000</v>
      </c>
      <c r="I74" s="29">
        <v>76129157927</v>
      </c>
      <c r="J74" s="31">
        <v>343.58</v>
      </c>
      <c r="K74" s="32">
        <v>1330.73</v>
      </c>
      <c r="L74" s="32">
        <v>26896.69</v>
      </c>
      <c r="M74" s="32">
        <v>4077</v>
      </c>
      <c r="N74" s="32">
        <v>3673.48</v>
      </c>
      <c r="O74" s="32">
        <v>1290</v>
      </c>
      <c r="P74" s="32">
        <v>3880</v>
      </c>
      <c r="Q74" s="32">
        <v>25622.81</v>
      </c>
      <c r="R74" s="33">
        <v>531006000000</v>
      </c>
      <c r="S74" s="30"/>
      <c r="T74" s="34">
        <v>3.61</v>
      </c>
      <c r="U74" s="33">
        <v>152642000000</v>
      </c>
      <c r="V74" s="35">
        <v>6.6</v>
      </c>
      <c r="W74" s="35">
        <v>20.21</v>
      </c>
      <c r="X74" s="35">
        <v>20.21</v>
      </c>
      <c r="Y74" s="31">
        <v>0.33</v>
      </c>
      <c r="Z74" s="35">
        <v>6.77</v>
      </c>
    </row>
    <row r="75" spans="1:26" x14ac:dyDescent="0.3">
      <c r="A75" s="27" t="s">
        <v>77</v>
      </c>
      <c r="B75" s="28">
        <v>2020</v>
      </c>
      <c r="C75" s="29">
        <v>26868564055</v>
      </c>
      <c r="D75" s="29">
        <v>551799700</v>
      </c>
      <c r="E75" s="30">
        <v>-7.82</v>
      </c>
      <c r="F75" s="29">
        <v>54509873680</v>
      </c>
      <c r="G75" s="29">
        <v>19101046520</v>
      </c>
      <c r="H75" s="29">
        <v>78275500</v>
      </c>
      <c r="I75" s="29">
        <v>46382982069</v>
      </c>
      <c r="J75" s="31">
        <v>704.95</v>
      </c>
      <c r="K75" s="32">
        <v>1730.45</v>
      </c>
      <c r="L75" s="32">
        <v>35.54</v>
      </c>
      <c r="M75" s="32">
        <v>3510.68</v>
      </c>
      <c r="N75" s="32">
        <v>2987.27</v>
      </c>
      <c r="O75" s="32">
        <v>1690</v>
      </c>
      <c r="P75" s="32">
        <v>3440</v>
      </c>
      <c r="Q75" s="32">
        <v>34.83</v>
      </c>
      <c r="R75" s="33">
        <v>540746600</v>
      </c>
      <c r="S75" s="30"/>
      <c r="T75" s="34">
        <v>3.74</v>
      </c>
      <c r="U75" s="33">
        <v>76000000</v>
      </c>
      <c r="V75" s="35">
        <v>0.01</v>
      </c>
      <c r="W75" s="35">
        <v>0.02</v>
      </c>
      <c r="X75" s="35">
        <v>51.33</v>
      </c>
      <c r="Y75" s="31">
        <v>0.49</v>
      </c>
      <c r="Z75" s="35">
        <v>0.01</v>
      </c>
    </row>
    <row r="76" spans="1:26" x14ac:dyDescent="0.3">
      <c r="A76" s="27" t="s">
        <v>77</v>
      </c>
      <c r="B76" s="28">
        <v>2021</v>
      </c>
      <c r="C76" s="29">
        <v>27240507842</v>
      </c>
      <c r="D76" s="29">
        <v>1276626400</v>
      </c>
      <c r="E76" s="30">
        <v>8.4700000000000006</v>
      </c>
      <c r="F76" s="29">
        <v>50310711159</v>
      </c>
      <c r="G76" s="29">
        <v>20718530621</v>
      </c>
      <c r="H76" s="29">
        <v>84903900</v>
      </c>
      <c r="I76" s="29">
        <v>50310711159</v>
      </c>
      <c r="J76" s="31">
        <v>1503.61</v>
      </c>
      <c r="K76" s="32">
        <v>1724.39</v>
      </c>
      <c r="L76" s="32">
        <v>80.81</v>
      </c>
      <c r="M76" s="32">
        <v>3184.78</v>
      </c>
      <c r="N76" s="32">
        <v>3184.78</v>
      </c>
      <c r="O76" s="32">
        <v>1740</v>
      </c>
      <c r="P76" s="32">
        <v>3110</v>
      </c>
      <c r="Q76" s="32">
        <v>78.98</v>
      </c>
      <c r="R76" s="33">
        <v>1247629600</v>
      </c>
      <c r="S76" s="30"/>
      <c r="T76" s="34">
        <v>2.2799999999999998</v>
      </c>
      <c r="U76" s="33">
        <v>238000000</v>
      </c>
      <c r="V76" s="35">
        <v>0.03</v>
      </c>
      <c r="W76" s="35">
        <v>0.05</v>
      </c>
      <c r="X76" s="35">
        <v>88.55</v>
      </c>
      <c r="Y76" s="31">
        <v>0.54</v>
      </c>
      <c r="Z76" s="35">
        <v>0.03</v>
      </c>
    </row>
    <row r="77" spans="1:26" x14ac:dyDescent="0.3">
      <c r="A77" s="27" t="s">
        <v>77</v>
      </c>
      <c r="B77" s="28">
        <v>2022</v>
      </c>
      <c r="C77" s="29">
        <v>32789657378</v>
      </c>
      <c r="D77" s="29">
        <v>4972682700</v>
      </c>
      <c r="E77" s="30">
        <v>6.14</v>
      </c>
      <c r="F77" s="29">
        <v>57206472522</v>
      </c>
      <c r="G77" s="29">
        <v>21990477716</v>
      </c>
      <c r="H77" s="29">
        <v>90116300</v>
      </c>
      <c r="I77" s="29">
        <v>53399374351</v>
      </c>
      <c r="J77" s="31">
        <v>5518.07</v>
      </c>
      <c r="K77" s="32">
        <v>2040.55</v>
      </c>
      <c r="L77" s="32">
        <v>309.45999999999998</v>
      </c>
      <c r="M77" s="32">
        <v>3560.04</v>
      </c>
      <c r="N77" s="32">
        <v>3323.12</v>
      </c>
      <c r="O77" s="32">
        <v>1960</v>
      </c>
      <c r="P77" s="32">
        <v>3480</v>
      </c>
      <c r="Q77" s="32">
        <v>302.26</v>
      </c>
      <c r="R77" s="33">
        <v>4856999700</v>
      </c>
      <c r="S77" s="30"/>
      <c r="T77" s="34">
        <v>1.42</v>
      </c>
      <c r="U77" s="33">
        <v>1067000000</v>
      </c>
      <c r="V77" s="35">
        <v>0.09</v>
      </c>
      <c r="W77" s="35">
        <v>0.15</v>
      </c>
      <c r="X77" s="35">
        <v>374.95</v>
      </c>
      <c r="Y77" s="31">
        <v>0.56999999999999995</v>
      </c>
      <c r="Z77" s="35"/>
    </row>
    <row r="78" spans="1:26" x14ac:dyDescent="0.3">
      <c r="A78" s="27" t="s">
        <v>77</v>
      </c>
      <c r="B78" s="28">
        <v>2023</v>
      </c>
      <c r="C78" s="29">
        <v>35231369343</v>
      </c>
      <c r="D78" s="29">
        <v>53508663900</v>
      </c>
      <c r="E78" s="30">
        <v>5.34</v>
      </c>
      <c r="F78" s="29">
        <v>62427821460</v>
      </c>
      <c r="G78" s="29">
        <v>23164059016</v>
      </c>
      <c r="H78" s="29">
        <v>94925600</v>
      </c>
      <c r="I78" s="29">
        <v>56249176341</v>
      </c>
      <c r="J78" s="31">
        <v>56369.06</v>
      </c>
      <c r="K78" s="32">
        <v>2156.0300000000002</v>
      </c>
      <c r="L78" s="32">
        <v>3274.54</v>
      </c>
      <c r="M78" s="32">
        <v>3820.36</v>
      </c>
      <c r="N78" s="32">
        <v>3442.25</v>
      </c>
      <c r="O78" s="32">
        <v>2060</v>
      </c>
      <c r="P78" s="32">
        <v>3770</v>
      </c>
      <c r="Q78" s="32">
        <v>3234.08</v>
      </c>
      <c r="R78" s="33">
        <v>52847537600</v>
      </c>
      <c r="S78" s="30"/>
      <c r="T78" s="34">
        <v>3.34</v>
      </c>
      <c r="U78" s="33">
        <v>10476000000</v>
      </c>
      <c r="V78" s="35">
        <v>0.86</v>
      </c>
      <c r="W78" s="35">
        <v>1.52</v>
      </c>
      <c r="X78" s="35">
        <v>3509.17</v>
      </c>
      <c r="Y78" s="31">
        <v>0.56000000000000005</v>
      </c>
      <c r="Z78" s="35"/>
    </row>
  </sheetData>
  <autoFilter ref="A2:Z78" xr:uid="{00000000-0009-0000-0000-000001000000}"/>
  <mergeCells count="6">
    <mergeCell ref="V1:Z1"/>
    <mergeCell ref="A1:A2"/>
    <mergeCell ref="B1:B2"/>
    <mergeCell ref="C1:J1"/>
    <mergeCell ref="K1:R1"/>
    <mergeCell ref="T1:U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4" sqref="G14"/>
    </sheetView>
  </sheetViews>
  <sheetFormatPr defaultColWidth="8.6640625" defaultRowHeight="14.4" x14ac:dyDescent="0.3"/>
  <cols>
    <col min="1" max="1" width="30" customWidth="1"/>
    <col min="2" max="25" width="16" customWidth="1"/>
  </cols>
  <sheetData>
    <row r="1" spans="1:25" ht="21.75" customHeight="1" x14ac:dyDescent="0.3">
      <c r="A1" s="1" t="s">
        <v>34</v>
      </c>
      <c r="B1" s="5" t="s">
        <v>13</v>
      </c>
      <c r="C1" s="5"/>
      <c r="D1" s="5"/>
      <c r="E1" s="5"/>
      <c r="F1" s="5"/>
      <c r="G1" s="5"/>
      <c r="H1" s="5"/>
      <c r="I1" s="5"/>
      <c r="J1" s="4" t="s">
        <v>15</v>
      </c>
      <c r="K1" s="4"/>
      <c r="L1" s="4"/>
      <c r="M1" s="4"/>
      <c r="N1" s="4"/>
      <c r="O1" s="4"/>
      <c r="P1" s="4"/>
      <c r="Q1" s="4"/>
      <c r="R1" s="21" t="s">
        <v>17</v>
      </c>
      <c r="S1" s="3" t="s">
        <v>19</v>
      </c>
      <c r="T1" s="3"/>
      <c r="U1" s="2" t="s">
        <v>21</v>
      </c>
      <c r="V1" s="2"/>
      <c r="W1" s="2"/>
      <c r="X1" s="2"/>
      <c r="Y1" s="2"/>
    </row>
    <row r="2" spans="1:25" ht="48" customHeight="1" x14ac:dyDescent="0.3">
      <c r="A2" s="1"/>
      <c r="B2" s="22" t="s">
        <v>36</v>
      </c>
      <c r="C2" s="22" t="s">
        <v>37</v>
      </c>
      <c r="D2" s="22" t="s">
        <v>38</v>
      </c>
      <c r="E2" s="22" t="s">
        <v>39</v>
      </c>
      <c r="F2" s="22" t="s">
        <v>40</v>
      </c>
      <c r="G2" s="22" t="s">
        <v>41</v>
      </c>
      <c r="H2" s="22" t="s">
        <v>42</v>
      </c>
      <c r="I2" s="22" t="s">
        <v>43</v>
      </c>
      <c r="J2" s="23" t="s">
        <v>44</v>
      </c>
      <c r="K2" s="23" t="s">
        <v>45</v>
      </c>
      <c r="L2" s="23" t="s">
        <v>46</v>
      </c>
      <c r="M2" s="23" t="s">
        <v>47</v>
      </c>
      <c r="N2" s="23" t="s">
        <v>48</v>
      </c>
      <c r="O2" s="23" t="s">
        <v>49</v>
      </c>
      <c r="P2" s="23" t="s">
        <v>50</v>
      </c>
      <c r="Q2" s="23" t="s">
        <v>51</v>
      </c>
      <c r="R2" s="24" t="s">
        <v>18</v>
      </c>
      <c r="S2" s="25" t="s">
        <v>52</v>
      </c>
      <c r="T2" s="25" t="s">
        <v>53</v>
      </c>
      <c r="U2" s="26" t="s">
        <v>54</v>
      </c>
      <c r="V2" s="26" t="s">
        <v>55</v>
      </c>
      <c r="W2" s="26" t="s">
        <v>56</v>
      </c>
      <c r="X2" s="26" t="s">
        <v>57</v>
      </c>
      <c r="Y2" s="26" t="s">
        <v>58</v>
      </c>
    </row>
    <row r="3" spans="1:25" x14ac:dyDescent="0.3">
      <c r="A3" s="27" t="s">
        <v>59</v>
      </c>
      <c r="B3" s="29">
        <f>IFERROR(SUMIFS(Data!C$3:C$78,Data!$A$3:$A$78,$A3,Data!$B$3:$B$78,2023),"n/a")</f>
        <v>2629391600</v>
      </c>
      <c r="C3" s="29">
        <f>IFERROR(SUMIFS(Data!D$3:D$78,Data!$A$3:$A$78,$A3,Data!$B$3:$B$78,2023),"n/a")</f>
        <v>9071960000000</v>
      </c>
      <c r="D3" s="30">
        <f>IFERROR(SUMIFS(Data!E$3:E$78,Data!$A$3:$A$78,$A3,Data!$B$3:$B$78,2023),"n/a")</f>
        <v>2.67</v>
      </c>
      <c r="E3" s="29">
        <f>IFERROR(SUMIFS(Data!F$3:F$78,Data!$A$3:$A$78,$A3,Data!$B$3:$B$78,2023),"n/a")</f>
        <v>12588790451</v>
      </c>
      <c r="F3" s="29">
        <f>IFERROR(SUMIFS(Data!G$3:G$78,Data!$A$3:$A$78,$A3,Data!$B$3:$B$78,2023),"n/a")</f>
        <v>3469531570</v>
      </c>
      <c r="G3" s="29">
        <f>IFERROR(SUMIFS(Data!H$3:H$78,Data!$A$3:$A$78,$A3,Data!$B$3:$B$78,2023),"n/a")</f>
        <v>1924910000000</v>
      </c>
      <c r="H3" s="29">
        <f>IFERROR(SUMIFS(Data!I$3:I$78,Data!$A$3:$A$78,$A3,Data!$B$3:$B$78,2023),"n/a")</f>
        <v>11342844864</v>
      </c>
      <c r="I3" s="31">
        <f>IFERROR(SUMIFS(Data!J$3:J$78,Data!$A$3:$A$78,$A3,Data!$B$3:$B$78,2023),"n/a")</f>
        <v>471.29</v>
      </c>
      <c r="J3" s="32">
        <f>IFERROR(SUMIFS(Data!K$3:K$78,Data!$A$3:$A$78,$A3,Data!$B$3:$B$78,2023),"n/a")</f>
        <v>192.07</v>
      </c>
      <c r="K3" s="32">
        <f>IFERROR(SUMIFS(Data!L$3:L$78,Data!$A$3:$A$78,$A3,Data!$B$3:$B$78,2023),"n/a")</f>
        <v>662696.88</v>
      </c>
      <c r="L3" s="32">
        <f>IFERROR(SUMIFS(Data!M$3:M$78,Data!$A$3:$A$78,$A3,Data!$B$3:$B$78,2023),"n/a")</f>
        <v>919.6</v>
      </c>
      <c r="M3" s="32">
        <f>IFERROR(SUMIFS(Data!N$3:N$78,Data!$A$3:$A$78,$A3,Data!$B$3:$B$78,2023),"n/a")</f>
        <v>828.58</v>
      </c>
      <c r="N3" s="32">
        <f>IFERROR(SUMIFS(Data!O$3:O$78,Data!$A$3:$A$78,$A3,Data!$B$3:$B$78,2023),"n/a")</f>
        <v>220</v>
      </c>
      <c r="O3" s="32">
        <f>IFERROR(SUMIFS(Data!P$3:P$78,Data!$A$3:$A$78,$A3,Data!$B$3:$B$78,2023),"n/a")</f>
        <v>930</v>
      </c>
      <c r="P3" s="32">
        <f>IFERROR(SUMIFS(Data!Q$3:Q$78,Data!$A$3:$A$78,$A3,Data!$B$3:$B$78,2023),"n/a")</f>
        <v>667377.91</v>
      </c>
      <c r="Q3" s="33">
        <f>IFERROR(SUMIFS(Data!R$3:R$78,Data!$A$3:$A$78,$A3,Data!$B$3:$B$78,2023),"n/a")</f>
        <v>9136040000000</v>
      </c>
      <c r="R3" s="30">
        <f>IFERROR(SUMIFS(Data!S$3:S$78,Data!$A$3:$A$78,$A3,Data!$B$3:$B$78,2020),"n/a")</f>
        <v>87.2</v>
      </c>
      <c r="S3" s="34">
        <f>IFERROR(SUMIFS(Data!T$3:T$78,Data!$A$3:$A$78,$A3,Data!$B$3:$B$78,2023),"n/a")</f>
        <v>1.68</v>
      </c>
      <c r="T3" s="33">
        <f>IFERROR(SUMIFS(Data!U$3:U$78,Data!$A$3:$A$78,$A3,Data!$B$3:$B$78,2023),"n/a")</f>
        <v>3101347000000</v>
      </c>
      <c r="U3" s="35">
        <f>IFERROR(SUMIFS(Data!V$3:V$78,Data!$A$3:$A$78,$A3,Data!$B$3:$B$78,2023),"n/a")</f>
        <v>720.64</v>
      </c>
      <c r="V3" s="35">
        <f>IFERROR(SUMIFS(Data!W$3:W$78,Data!$A$3:$A$78,$A3,Data!$B$3:$B$78,2023),"n/a")</f>
        <v>3450.21</v>
      </c>
      <c r="W3" s="35">
        <f>IFERROR(SUMIFS(Data!X$3:X$78,Data!$A$3:$A$78,$A3,Data!$B$3:$B$78,2023),"n/a")</f>
        <v>2574.0500000000002</v>
      </c>
      <c r="X3" s="31">
        <f>IFERROR(SUMIFS(Data!Y$3:Y$78,Data!$A$3:$A$78,$A3,Data!$B$3:$B$78,2023),"n/a")</f>
        <v>0.21</v>
      </c>
      <c r="Y3" s="35">
        <f>IFERROR(SUMIFS(Data!Z$3:Z$78,Data!$A$3:$A$78,$A3,Data!$B$3:$B$78,2023),"n/a")</f>
        <v>881.67</v>
      </c>
    </row>
    <row r="4" spans="1:25" x14ac:dyDescent="0.3">
      <c r="A4" s="27" t="s">
        <v>60</v>
      </c>
      <c r="B4" s="29">
        <f>IFERROR(SUMIFS(Data!C$3:C$78,Data!$A$3:$A$78,$A4,Data!$B$3:$B$78,2023),"n/a")</f>
        <v>1430523436</v>
      </c>
      <c r="C4" s="29">
        <f>IFERROR(SUMIFS(Data!D$3:D$78,Data!$A$3:$A$78,$A4,Data!$B$3:$B$78,2023),"n/a")</f>
        <v>650876000000</v>
      </c>
      <c r="D4" s="30">
        <f>IFERROR(SUMIFS(Data!E$3:E$78,Data!$A$3:$A$78,$A4,Data!$B$3:$B$78,2023),"n/a")</f>
        <v>3.06</v>
      </c>
      <c r="E4" s="29">
        <f>IFERROR(SUMIFS(Data!F$3:F$78,Data!$A$3:$A$78,$A4,Data!$B$3:$B$78,2023),"n/a")</f>
        <v>3318845024</v>
      </c>
      <c r="F4" s="29">
        <f>IFERROR(SUMIFS(Data!G$3:G$78,Data!$A$3:$A$78,$A4,Data!$B$3:$B$78,2023),"n/a")</f>
        <v>1280048597</v>
      </c>
      <c r="G4" s="29">
        <f>IFERROR(SUMIFS(Data!H$3:H$78,Data!$A$3:$A$78,$A4,Data!$B$3:$B$78,2023),"n/a")</f>
        <v>570568000000</v>
      </c>
      <c r="H4" s="29">
        <f>IFERROR(SUMIFS(Data!I$3:I$78,Data!$A$3:$A$78,$A4,Data!$B$3:$B$78,2023),"n/a")</f>
        <v>2990370233</v>
      </c>
      <c r="I4" s="31">
        <f>IFERROR(SUMIFS(Data!J$3:J$78,Data!$A$3:$A$78,$A4,Data!$B$3:$B$78,2023),"n/a")</f>
        <v>114.08</v>
      </c>
      <c r="J4" s="32">
        <f>IFERROR(SUMIFS(Data!K$3:K$78,Data!$A$3:$A$78,$A4,Data!$B$3:$B$78,2023),"n/a")</f>
        <v>1682.2</v>
      </c>
      <c r="K4" s="32">
        <f>IFERROR(SUMIFS(Data!L$3:L$78,Data!$A$3:$A$78,$A4,Data!$B$3:$B$78,2023),"n/a")</f>
        <v>765387.56</v>
      </c>
      <c r="L4" s="32">
        <f>IFERROR(SUMIFS(Data!M$3:M$78,Data!$A$3:$A$78,$A4,Data!$B$3:$B$78,2023),"n/a")</f>
        <v>3902.75</v>
      </c>
      <c r="M4" s="32">
        <f>IFERROR(SUMIFS(Data!N$3:N$78,Data!$A$3:$A$78,$A4,Data!$B$3:$B$78,2023),"n/a")</f>
        <v>3516.48</v>
      </c>
      <c r="N4" s="32">
        <f>IFERROR(SUMIFS(Data!O$3:O$78,Data!$A$3:$A$78,$A4,Data!$B$3:$B$78,2023),"n/a")</f>
        <v>1660</v>
      </c>
      <c r="O4" s="32">
        <f>IFERROR(SUMIFS(Data!P$3:P$78,Data!$A$3:$A$78,$A4,Data!$B$3:$B$78,2023),"n/a")</f>
        <v>3920</v>
      </c>
      <c r="P4" s="32">
        <f>IFERROR(SUMIFS(Data!Q$3:Q$78,Data!$A$3:$A$78,$A4,Data!$B$3:$B$78,2023),"n/a")</f>
        <v>769337.84</v>
      </c>
      <c r="Q4" s="33">
        <f>IFERROR(SUMIFS(Data!R$3:R$78,Data!$A$3:$A$78,$A4,Data!$B$3:$B$78,2023),"n/a")</f>
        <v>654235000000</v>
      </c>
      <c r="R4" s="36" t="s">
        <v>78</v>
      </c>
      <c r="S4" s="34">
        <f>IFERROR(SUMIFS(Data!T$3:T$78,Data!$A$3:$A$78,$A4,Data!$B$3:$B$78,2023),"n/a")</f>
        <v>1.31</v>
      </c>
      <c r="T4" s="33">
        <f>IFERROR(SUMIFS(Data!U$3:U$78,Data!$A$3:$A$78,$A4,Data!$B$3:$B$78,2023),"n/a")</f>
        <v>107878000000</v>
      </c>
      <c r="U4" s="35">
        <f>IFERROR(SUMIFS(Data!V$3:V$78,Data!$A$3:$A$78,$A4,Data!$B$3:$B$78,2023),"n/a")</f>
        <v>196.12</v>
      </c>
      <c r="V4" s="35">
        <f>IFERROR(SUMIFS(Data!W$3:W$78,Data!$A$3:$A$78,$A4,Data!$B$3:$B$78,2023),"n/a")</f>
        <v>454.99</v>
      </c>
      <c r="W4" s="35">
        <f>IFERROR(SUMIFS(Data!X$3:X$78,Data!$A$3:$A$78,$A4,Data!$B$3:$B$78,2023),"n/a")</f>
        <v>454.99</v>
      </c>
      <c r="X4" s="31">
        <f>IFERROR(SUMIFS(Data!Y$3:Y$78,Data!$A$3:$A$78,$A4,Data!$B$3:$B$78,2023),"n/a")</f>
        <v>0.43</v>
      </c>
      <c r="Y4" s="35">
        <f>IFERROR(SUMIFS(Data!Z$3:Z$78,Data!$A$3:$A$78,$A4,Data!$B$3:$B$78,2021),"n/a")</f>
        <v>228.05</v>
      </c>
    </row>
    <row r="5" spans="1:25" x14ac:dyDescent="0.3">
      <c r="A5" s="27" t="s">
        <v>61</v>
      </c>
      <c r="B5" s="29">
        <f>IFERROR(SUMIFS(Data!C$3:C$78,Data!$A$3:$A$78,$A5,Data!$B$3:$B$78,2023),"n/a")</f>
        <v>67006756666</v>
      </c>
      <c r="C5" s="29">
        <f>IFERROR(SUMIFS(Data!D$3:D$78,Data!$A$3:$A$78,$A5,Data!$B$3:$B$78,2023),"n/a")</f>
        <v>163777000000000</v>
      </c>
      <c r="D5" s="30">
        <f>IFERROR(SUMIFS(Data!E$3:E$78,Data!$A$3:$A$78,$A5,Data!$B$3:$B$78,2023),"n/a")</f>
        <v>8.61</v>
      </c>
      <c r="E5" s="29">
        <f>IFERROR(SUMIFS(Data!F$3:F$78,Data!$A$3:$A$78,$A5,Data!$B$3:$B$78,2023),"n/a")</f>
        <v>171006000000</v>
      </c>
      <c r="F5" s="29">
        <f>IFERROR(SUMIFS(Data!G$3:G$78,Data!$A$3:$A$78,$A5,Data!$B$3:$B$78,2023),"n/a")</f>
        <v>56862826231</v>
      </c>
      <c r="G5" s="29">
        <f>IFERROR(SUMIFS(Data!H$3:H$78,Data!$A$3:$A$78,$A5,Data!$B$3:$B$78,2023),"n/a")</f>
        <v>161824000000000</v>
      </c>
      <c r="H5" s="29">
        <f>IFERROR(SUMIFS(Data!I$3:I$78,Data!$A$3:$A$78,$A5,Data!$B$3:$B$78,2023),"n/a")</f>
        <v>154081000000</v>
      </c>
      <c r="I5" s="31">
        <f>IFERROR(SUMIFS(Data!J$3:J$78,Data!$A$3:$A$78,$A5,Data!$B$3:$B$78,2023),"n/a")</f>
        <v>1012.07</v>
      </c>
      <c r="J5" s="32">
        <f>IFERROR(SUMIFS(Data!K$3:K$78,Data!$A$3:$A$78,$A5,Data!$B$3:$B$78,2023),"n/a")</f>
        <v>633.4</v>
      </c>
      <c r="K5" s="32">
        <f>IFERROR(SUMIFS(Data!L$3:L$78,Data!$A$3:$A$78,$A5,Data!$B$3:$B$78,2023),"n/a")</f>
        <v>1548140.57</v>
      </c>
      <c r="L5" s="32">
        <f>IFERROR(SUMIFS(Data!M$3:M$78,Data!$A$3:$A$78,$A5,Data!$B$3:$B$78,2023),"n/a")</f>
        <v>1616.47</v>
      </c>
      <c r="M5" s="32">
        <f>IFERROR(SUMIFS(Data!N$3:N$78,Data!$A$3:$A$78,$A5,Data!$B$3:$B$78,2023),"n/a")</f>
        <v>1456.48</v>
      </c>
      <c r="N5" s="32">
        <f>IFERROR(SUMIFS(Data!O$3:O$78,Data!$A$3:$A$78,$A5,Data!$B$3:$B$78,2023),"n/a")</f>
        <v>640</v>
      </c>
      <c r="O5" s="32">
        <f>IFERROR(SUMIFS(Data!P$3:P$78,Data!$A$3:$A$78,$A5,Data!$B$3:$B$78,2023),"n/a")</f>
        <v>1570</v>
      </c>
      <c r="P5" s="32">
        <f>IFERROR(SUMIFS(Data!Q$3:Q$78,Data!$A$3:$A$78,$A5,Data!$B$3:$B$78,2023),"n/a")</f>
        <v>1499737.02</v>
      </c>
      <c r="Q5" s="33">
        <f>IFERROR(SUMIFS(Data!R$3:R$78,Data!$A$3:$A$78,$A5,Data!$B$3:$B$78,2023),"n/a")</f>
        <v>158657000000000</v>
      </c>
      <c r="R5" s="30">
        <f>IFERROR(SUMIFS(Data!S$3:S$78,Data!$A$3:$A$78,$A5,Data!$B$3:$B$78,2020),"n/a")</f>
        <v>92.5</v>
      </c>
      <c r="S5" s="34">
        <f>IFERROR(SUMIFS(Data!T$3:T$78,Data!$A$3:$A$78,$A5,Data!$B$3:$B$78,2023),"n/a")</f>
        <v>0.76</v>
      </c>
      <c r="T5" s="33">
        <f>IFERROR(SUMIFS(Data!U$3:U$78,Data!$A$3:$A$78,$A5,Data!$B$3:$B$78,2023),"n/a")</f>
        <v>27144749000000</v>
      </c>
      <c r="U5" s="35">
        <f>IFERROR(SUMIFS(Data!V$3:V$78,Data!$A$3:$A$78,$A5,Data!$B$3:$B$78,2023),"n/a")</f>
        <v>957.73</v>
      </c>
      <c r="V5" s="35">
        <f>IFERROR(SUMIFS(Data!W$3:W$78,Data!$A$3:$A$78,$A5,Data!$B$3:$B$78,2023),"n/a")</f>
        <v>2444.19</v>
      </c>
      <c r="W5" s="35">
        <f>IFERROR(SUMIFS(Data!X$3:X$78,Data!$A$3:$A$78,$A5,Data!$B$3:$B$78,2023),"n/a")</f>
        <v>2340.04</v>
      </c>
      <c r="X5" s="31">
        <f>IFERROR(SUMIFS(Data!Y$3:Y$78,Data!$A$3:$A$78,$A5,Data!$B$3:$B$78,2023),"n/a")</f>
        <v>0.39</v>
      </c>
      <c r="Y5" s="35">
        <f>IFERROR(SUMIFS(Data!Z$3:Z$78,Data!$A$3:$A$78,$A5,Data!$B$3:$B$78,2021),"n/a")</f>
        <v>928.6</v>
      </c>
    </row>
    <row r="6" spans="1:25" x14ac:dyDescent="0.3">
      <c r="A6" s="27" t="s">
        <v>62</v>
      </c>
      <c r="B6" s="29">
        <f>IFERROR(SUMIFS(Data!C$3:C$78,Data!$A$3:$A$78,$A6,Data!$B$3:$B$78,2023),"n/a")</f>
        <v>3917150481</v>
      </c>
      <c r="C6" s="29">
        <f>IFERROR(SUMIFS(Data!D$3:D$78,Data!$A$3:$A$78,$A6,Data!$B$3:$B$78,2023),"n/a")</f>
        <v>696160000000</v>
      </c>
      <c r="D6" s="30">
        <f>IFERROR(SUMIFS(Data!E$3:E$78,Data!$A$3:$A$78,$A6,Data!$B$3:$B$78,2023),"n/a")</f>
        <v>7.37</v>
      </c>
      <c r="E6" s="29">
        <f>IFERROR(SUMIFS(Data!F$3:F$78,Data!$A$3:$A$78,$A6,Data!$B$3:$B$78,2023),"n/a")</f>
        <v>8375036989</v>
      </c>
      <c r="F6" s="29">
        <f>IFERROR(SUMIFS(Data!G$3:G$78,Data!$A$3:$A$78,$A6,Data!$B$3:$B$78,2023),"n/a")</f>
        <v>3613673263</v>
      </c>
      <c r="G6" s="29">
        <f>IFERROR(SUMIFS(Data!H$3:H$78,Data!$A$3:$A$78,$A6,Data!$B$3:$B$78,2023),"n/a")</f>
        <v>622962000000</v>
      </c>
      <c r="H6" s="29">
        <f>IFERROR(SUMIFS(Data!I$3:I$78,Data!$A$3:$A$78,$A6,Data!$B$3:$B$78,2023),"n/a")</f>
        <v>7546137626</v>
      </c>
      <c r="I6" s="31">
        <f>IFERROR(SUMIFS(Data!J$3:J$78,Data!$A$3:$A$78,$A6,Data!$B$3:$B$78,2023),"n/a")</f>
        <v>111.75</v>
      </c>
      <c r="J6" s="32">
        <f>IFERROR(SUMIFS(Data!K$3:K$78,Data!$A$3:$A$78,$A6,Data!$B$3:$B$78,2023),"n/a")</f>
        <v>3397.52</v>
      </c>
      <c r="K6" s="32">
        <f>IFERROR(SUMIFS(Data!L$3:L$78,Data!$A$3:$A$78,$A6,Data!$B$3:$B$78,2023),"n/a")</f>
        <v>603810.68000000005</v>
      </c>
      <c r="L6" s="32">
        <f>IFERROR(SUMIFS(Data!M$3:M$78,Data!$A$3:$A$78,$A6,Data!$B$3:$B$78,2023),"n/a")</f>
        <v>7264.04</v>
      </c>
      <c r="M6" s="32">
        <f>IFERROR(SUMIFS(Data!N$3:N$78,Data!$A$3:$A$78,$A6,Data!$B$3:$B$78,2023),"n/a")</f>
        <v>6545.1</v>
      </c>
      <c r="N6" s="32">
        <f>IFERROR(SUMIFS(Data!O$3:O$78,Data!$A$3:$A$78,$A6,Data!$B$3:$B$78,2023),"n/a")</f>
        <v>3510</v>
      </c>
      <c r="O6" s="32">
        <f>IFERROR(SUMIFS(Data!P$3:P$78,Data!$A$3:$A$78,$A6,Data!$B$3:$B$78,2023),"n/a")</f>
        <v>7460</v>
      </c>
      <c r="P6" s="32">
        <f>IFERROR(SUMIFS(Data!Q$3:Q$78,Data!$A$3:$A$78,$A6,Data!$B$3:$B$78,2023),"n/a")</f>
        <v>619685.39</v>
      </c>
      <c r="Q6" s="33">
        <f>IFERROR(SUMIFS(Data!R$3:R$78,Data!$A$3:$A$78,$A6,Data!$B$3:$B$78,2023),"n/a")</f>
        <v>714463000000</v>
      </c>
      <c r="R6" s="36" t="s">
        <v>78</v>
      </c>
      <c r="S6" s="34">
        <f>IFERROR(SUMIFS(Data!T$3:T$78,Data!$A$3:$A$78,$A6,Data!$B$3:$B$78,2023),"n/a")</f>
        <v>2.52</v>
      </c>
      <c r="T6" s="33">
        <f>IFERROR(SUMIFS(Data!U$3:U$78,Data!$A$3:$A$78,$A6,Data!$B$3:$B$78,2023),"n/a")</f>
        <v>149757000000</v>
      </c>
      <c r="U6" s="35">
        <f>IFERROR(SUMIFS(Data!V$3:V$78,Data!$A$3:$A$78,$A6,Data!$B$3:$B$78,2023),"n/a")</f>
        <v>83.12</v>
      </c>
      <c r="V6" s="35">
        <f>IFERROR(SUMIFS(Data!W$3:W$78,Data!$A$3:$A$78,$A6,Data!$B$3:$B$78,2023),"n/a")</f>
        <v>177.72</v>
      </c>
      <c r="W6" s="35">
        <f>IFERROR(SUMIFS(Data!X$3:X$78,Data!$A$3:$A$78,$A6,Data!$B$3:$B$78,2023),"n/a")</f>
        <v>177.72</v>
      </c>
      <c r="X6" s="31">
        <f>IFERROR(SUMIFS(Data!Y$3:Y$78,Data!$A$3:$A$78,$A6,Data!$B$3:$B$78,2023),"n/a")</f>
        <v>0.47</v>
      </c>
      <c r="Y6" s="35">
        <f>IFERROR(SUMIFS(Data!Z$3:Z$78,Data!$A$3:$A$78,$A6,Data!$B$3:$B$78,2023),"n/a")</f>
        <v>92.02</v>
      </c>
    </row>
    <row r="7" spans="1:25" x14ac:dyDescent="0.3">
      <c r="A7" s="27" t="s">
        <v>63</v>
      </c>
      <c r="B7" s="36" t="s">
        <v>78</v>
      </c>
      <c r="C7" s="36" t="s">
        <v>78</v>
      </c>
      <c r="D7" s="36" t="s">
        <v>78</v>
      </c>
      <c r="E7" s="36" t="s">
        <v>78</v>
      </c>
      <c r="F7" s="36" t="s">
        <v>78</v>
      </c>
      <c r="G7" s="36" t="s">
        <v>78</v>
      </c>
      <c r="H7" s="36" t="s">
        <v>78</v>
      </c>
      <c r="I7" s="36" t="s">
        <v>78</v>
      </c>
      <c r="J7" s="37" t="s">
        <v>78</v>
      </c>
      <c r="K7" s="37" t="s">
        <v>78</v>
      </c>
      <c r="L7" s="37" t="s">
        <v>78</v>
      </c>
      <c r="M7" s="37" t="s">
        <v>78</v>
      </c>
      <c r="N7" s="37" t="s">
        <v>78</v>
      </c>
      <c r="O7" s="37" t="s">
        <v>78</v>
      </c>
      <c r="P7" s="37" t="s">
        <v>78</v>
      </c>
      <c r="Q7" s="37" t="s">
        <v>78</v>
      </c>
      <c r="R7" s="36" t="s">
        <v>78</v>
      </c>
      <c r="S7" s="37" t="s">
        <v>78</v>
      </c>
      <c r="T7" s="37" t="s">
        <v>78</v>
      </c>
      <c r="U7" s="35">
        <f>IFERROR(SUMIFS(Data!V$3:V$78,Data!$A$3:$A$78,$A7,Data!$B$3:$B$78,2021),"n/a")</f>
        <v>4.9400000000000004</v>
      </c>
      <c r="V7" s="35">
        <f>IFERROR(SUMIFS(Data!W$3:W$78,Data!$A$3:$A$78,$A7,Data!$B$3:$B$78,2023),"n/a")</f>
        <v>15.07</v>
      </c>
      <c r="W7" s="35">
        <f>IFERROR(SUMIFS(Data!X$3:X$78,Data!$A$3:$A$78,$A7,Data!$B$3:$B$78,2023),"n/a")</f>
        <v>15.07</v>
      </c>
      <c r="X7" s="31">
        <f>IFERROR(SUMIFS(Data!Y$3:Y$78,Data!$A$3:$A$78,$A7,Data!$B$3:$B$78,2021),"n/a")</f>
        <v>0.33</v>
      </c>
      <c r="Y7" s="35">
        <f>IFERROR(SUMIFS(Data!Z$3:Z$78,Data!$A$3:$A$78,$A7,Data!$B$3:$B$78,2021),"n/a")</f>
        <v>5.2</v>
      </c>
    </row>
    <row r="8" spans="1:25" x14ac:dyDescent="0.3">
      <c r="A8" s="27" t="s">
        <v>64</v>
      </c>
      <c r="B8" s="29">
        <f>IFERROR(SUMIFS(Data!C$3:C$78,Data!$A$3:$A$78,$A8,Data!$B$3:$B$78,2022),"n/a")</f>
        <v>126773000000</v>
      </c>
      <c r="C8" s="29">
        <f>IFERROR(SUMIFS(Data!D$3:D$78,Data!$A$3:$A$78,$A8,Data!$B$3:$B$78,2023),"n/a")</f>
        <v>8723120000000</v>
      </c>
      <c r="D8" s="30">
        <f>IFERROR(SUMIFS(Data!E$3:E$78,Data!$A$3:$A$78,$A8,Data!$B$3:$B$78,2023),"n/a")</f>
        <v>6.59</v>
      </c>
      <c r="E8" s="29">
        <f>IFERROR(SUMIFS(Data!F$3:F$78,Data!$A$3:$A$78,$A8,Data!$B$3:$B$78,2023),"n/a")</f>
        <v>393913000000</v>
      </c>
      <c r="F8" s="29">
        <f>IFERROR(SUMIFS(Data!G$3:G$78,Data!$A$3:$A$78,$A8,Data!$B$3:$B$78,2023),"n/a")</f>
        <v>112756000000</v>
      </c>
      <c r="G8" s="29">
        <f>IFERROR(SUMIFS(Data!H$3:H$78,Data!$A$3:$A$78,$A8,Data!$B$3:$B$78,2023),"n/a")</f>
        <v>25015000000000</v>
      </c>
      <c r="H8" s="29">
        <f>IFERROR(SUMIFS(Data!I$3:I$78,Data!$A$3:$A$78,$A8,Data!$B$3:$B$78,2023),"n/a")</f>
        <v>354926000000</v>
      </c>
      <c r="I8" s="31">
        <f>IFERROR(SUMIFS(Data!J$3:J$78,Data!$A$3:$A$78,$A8,Data!$B$3:$B$78,2023),"n/a")</f>
        <v>348.72</v>
      </c>
      <c r="J8" s="32">
        <f>IFERROR(SUMIFS(Data!K$3:K$78,Data!$A$3:$A$78,$A8,Data!$B$3:$B$78,2022),"n/a")</f>
        <v>1011.07</v>
      </c>
      <c r="K8" s="32">
        <f>IFERROR(SUMIFS(Data!L$3:L$78,Data!$A$3:$A$78,$A8,Data!$B$3:$B$78,2023),"n/a")</f>
        <v>67783.06</v>
      </c>
      <c r="L8" s="32">
        <f>IFERROR(SUMIFS(Data!M$3:M$78,Data!$A$3:$A$78,$A8,Data!$B$3:$B$78,2023),"n/a")</f>
        <v>3060.91</v>
      </c>
      <c r="M8" s="32">
        <f>IFERROR(SUMIFS(Data!N$3:N$78,Data!$A$3:$A$78,$A8,Data!$B$3:$B$78,2023),"n/a")</f>
        <v>2757.96</v>
      </c>
      <c r="N8" s="32">
        <f>IFERROR(SUMIFS(Data!O$3:O$78,Data!$A$3:$A$78,$A8,Data!$B$3:$B$78,2022),"n/a")</f>
        <v>1010</v>
      </c>
      <c r="O8" s="32">
        <f>IFERROR(SUMIFS(Data!P$3:P$78,Data!$A$3:$A$78,$A8,Data!$B$3:$B$78,2023),"n/a")</f>
        <v>3050</v>
      </c>
      <c r="P8" s="32">
        <f>IFERROR(SUMIFS(Data!Q$3:Q$78,Data!$A$3:$A$78,$A8,Data!$B$3:$B$78,2023),"n/a")</f>
        <v>67597.16</v>
      </c>
      <c r="Q8" s="33">
        <f>IFERROR(SUMIFS(Data!R$3:R$78,Data!$A$3:$A$78,$A8,Data!$B$3:$B$78,2023),"n/a")</f>
        <v>86991900000000</v>
      </c>
      <c r="R8" s="30">
        <f>IFERROR(SUMIFS(Data!S$3:S$78,Data!$A$3:$A$78,$A8,Data!$B$3:$B$78,2021),"n/a")</f>
        <v>63.7</v>
      </c>
      <c r="S8" s="34">
        <f>IFERROR(SUMIFS(Data!T$3:T$78,Data!$A$3:$A$78,$A8,Data!$B$3:$B$78,2022),"n/a")</f>
        <v>1.59</v>
      </c>
      <c r="T8" s="33">
        <f>IFERROR(SUMIFS(Data!U$3:U$78,Data!$A$3:$A$78,$A8,Data!$B$3:$B$78,2023),"n/a")</f>
        <v>943881000000</v>
      </c>
      <c r="U8" s="35">
        <f>IFERROR(SUMIFS(Data!V$3:V$78,Data!$A$3:$A$78,$A8,Data!$B$3:$B$78,2023),"n/a")</f>
        <v>22.14</v>
      </c>
      <c r="V8" s="35">
        <f>IFERROR(SUMIFS(Data!W$3:W$78,Data!$A$3:$A$78,$A8,Data!$B$3:$B$78,2022),"n/a")</f>
        <v>48.57</v>
      </c>
      <c r="W8" s="35">
        <f>IFERROR(SUMIFS(Data!X$3:X$78,Data!$A$3:$A$78,$A8,Data!$B$3:$B$78,2023),"n/a")</f>
        <v>54.6</v>
      </c>
      <c r="X8" s="31">
        <f>IFERROR(SUMIFS(Data!Y$3:Y$78,Data!$A$3:$A$78,$A8,Data!$B$3:$B$78,2022),"n/a")</f>
        <v>0.36</v>
      </c>
      <c r="Y8" s="35">
        <f>IFERROR(SUMIFS(Data!Z$3:Z$78,Data!$A$3:$A$78,$A8,Data!$B$3:$B$78,2023),"n/a")</f>
        <v>20.83</v>
      </c>
    </row>
    <row r="9" spans="1:25" x14ac:dyDescent="0.3">
      <c r="A9" s="27" t="s">
        <v>65</v>
      </c>
      <c r="B9" s="29">
        <f>IFERROR(SUMIFS(Data!C$3:C$78,Data!$A$3:$A$78,$A9,Data!$B$3:$B$78,2023),"n/a")</f>
        <v>108039000000</v>
      </c>
      <c r="C9" s="29">
        <f>IFERROR(SUMIFS(Data!D$3:D$78,Data!$A$3:$A$78,$A9,Data!$B$3:$B$78,2023),"n/a")</f>
        <v>15108800000000</v>
      </c>
      <c r="D9" s="30">
        <f>IFERROR(SUMIFS(Data!E$3:E$78,Data!$A$3:$A$78,$A9,Data!$B$3:$B$78,2023),"n/a")</f>
        <v>5.56</v>
      </c>
      <c r="E9" s="29">
        <f>IFERROR(SUMIFS(Data!F$3:F$78,Data!$A$3:$A$78,$A9,Data!$B$3:$B$78,2023),"n/a")</f>
        <v>349036000000</v>
      </c>
      <c r="F9" s="29">
        <f>IFERROR(SUMIFS(Data!G$3:G$78,Data!$A$3:$A$78,$A9,Data!$B$3:$B$78,2023),"n/a")</f>
        <v>100075000000</v>
      </c>
      <c r="G9" s="29">
        <f>IFERROR(SUMIFS(Data!H$3:H$78,Data!$A$3:$A$78,$A9,Data!$B$3:$B$78,2023),"n/a")</f>
        <v>104000000000000</v>
      </c>
      <c r="H9" s="29">
        <f>IFERROR(SUMIFS(Data!I$3:I$78,Data!$A$3:$A$78,$A9,Data!$B$3:$B$78,2023),"n/a")</f>
        <v>314491000000</v>
      </c>
      <c r="I9" s="31">
        <f>IFERROR(SUMIFS(Data!J$3:J$78,Data!$A$3:$A$78,$A9,Data!$B$3:$B$78,2023),"n/a")</f>
        <v>145.28</v>
      </c>
      <c r="J9" s="32">
        <f>IFERROR(SUMIFS(Data!K$3:K$78,Data!$A$3:$A$78,$A9,Data!$B$3:$B$78,2023),"n/a")</f>
        <v>1952.3</v>
      </c>
      <c r="K9" s="32">
        <f>IFERROR(SUMIFS(Data!L$3:L$78,Data!$A$3:$A$78,$A9,Data!$B$3:$B$78,2023),"n/a")</f>
        <v>273022.74</v>
      </c>
      <c r="L9" s="32">
        <f>IFERROR(SUMIFS(Data!M$3:M$78,Data!$A$3:$A$78,$A9,Data!$B$3:$B$78,2023),"n/a")</f>
        <v>6307.23</v>
      </c>
      <c r="M9" s="32">
        <f>IFERROR(SUMIFS(Data!N$3:N$78,Data!$A$3:$A$78,$A9,Data!$B$3:$B$78,2023),"n/a")</f>
        <v>5682.99</v>
      </c>
      <c r="N9" s="32">
        <f>IFERROR(SUMIFS(Data!O$3:O$78,Data!$A$3:$A$78,$A9,Data!$B$3:$B$78,2023),"n/a")</f>
        <v>2110</v>
      </c>
      <c r="O9" s="32">
        <f>IFERROR(SUMIFS(Data!P$3:P$78,Data!$A$3:$A$78,$A9,Data!$B$3:$B$78,2023),"n/a")</f>
        <v>6200</v>
      </c>
      <c r="P9" s="32">
        <f>IFERROR(SUMIFS(Data!Q$3:Q$78,Data!$A$3:$A$78,$A9,Data!$B$3:$B$78,2023),"n/a")</f>
        <v>268254.76</v>
      </c>
      <c r="Q9" s="33">
        <f>IFERROR(SUMIFS(Data!R$3:R$78,Data!$A$3:$A$78,$A9,Data!$B$3:$B$78,2023),"n/a")</f>
        <v>14845000000000</v>
      </c>
      <c r="R9" s="30">
        <f>IFERROR(SUMIFS(Data!S$3:S$78,Data!$A$3:$A$78,$A9,Data!$B$3:$B$78,2022),"n/a")</f>
        <v>67</v>
      </c>
      <c r="S9" s="34">
        <f>IFERROR(SUMIFS(Data!T$3:T$78,Data!$A$3:$A$78,$A9,Data!$B$3:$B$78,2023),"n/a")</f>
        <v>3.65</v>
      </c>
      <c r="T9" s="33">
        <f>IFERROR(SUMIFS(Data!U$3:U$78,Data!$A$3:$A$78,$A9,Data!$B$3:$B$78,2023),"n/a")</f>
        <v>3413105000000</v>
      </c>
      <c r="U9" s="35">
        <f>IFERROR(SUMIFS(Data!V$3:V$78,Data!$A$3:$A$78,$A9,Data!$B$3:$B$78,2023),"n/a")</f>
        <v>43.29</v>
      </c>
      <c r="V9" s="35">
        <f>IFERROR(SUMIFS(Data!W$3:W$78,Data!$A$3:$A$78,$A9,Data!$B$3:$B$78,2023),"n/a")</f>
        <v>139.85</v>
      </c>
      <c r="W9" s="35">
        <f>IFERROR(SUMIFS(Data!X$3:X$78,Data!$A$3:$A$78,$A9,Data!$B$3:$B$78,2023),"n/a")</f>
        <v>139.85</v>
      </c>
      <c r="X9" s="31">
        <f>IFERROR(SUMIFS(Data!Y$3:Y$78,Data!$A$3:$A$78,$A9,Data!$B$3:$B$78,2023),"n/a")</f>
        <v>0.31</v>
      </c>
      <c r="Y9" s="35">
        <f>IFERROR(SUMIFS(Data!Z$3:Z$78,Data!$A$3:$A$78,$A9,Data!$B$3:$B$78,2023),"n/a")</f>
        <v>43.74</v>
      </c>
    </row>
    <row r="10" spans="1:25" x14ac:dyDescent="0.3">
      <c r="A10" s="27" t="s">
        <v>66</v>
      </c>
      <c r="B10" s="29">
        <f>IFERROR(SUMIFS(Data!C$3:C$78,Data!$A$3:$A$78,$A10,Data!$B$3:$B$78,2023),"n/a")</f>
        <v>15869945478</v>
      </c>
      <c r="C10" s="29">
        <f>IFERROR(SUMIFS(Data!D$3:D$78,Data!$A$3:$A$78,$A10,Data!$B$3:$B$78,2023),"n/a")</f>
        <v>70297200000000</v>
      </c>
      <c r="D10" s="30">
        <f>IFERROR(SUMIFS(Data!E$3:E$78,Data!$A$3:$A$78,$A10,Data!$B$3:$B$78,2023),"n/a")</f>
        <v>4.2</v>
      </c>
      <c r="E10" s="29">
        <f>IFERROR(SUMIFS(Data!F$3:F$78,Data!$A$3:$A$78,$A10,Data!$B$3:$B$78,2023),"n/a")</f>
        <v>56416214294</v>
      </c>
      <c r="F10" s="29">
        <f>IFERROR(SUMIFS(Data!G$3:G$78,Data!$A$3:$A$78,$A10,Data!$B$3:$B$78,2023),"n/a")</f>
        <v>13908224365</v>
      </c>
      <c r="G10" s="29">
        <f>IFERROR(SUMIFS(Data!H$3:H$78,Data!$A$3:$A$78,$A10,Data!$B$3:$B$78,2023),"n/a")</f>
        <v>23078800000000</v>
      </c>
      <c r="H10" s="29">
        <f>IFERROR(SUMIFS(Data!I$3:I$78,Data!$A$3:$A$78,$A10,Data!$B$3:$B$78,2023),"n/a")</f>
        <v>50832553694</v>
      </c>
      <c r="I10" s="31">
        <f>IFERROR(SUMIFS(Data!J$3:J$78,Data!$A$3:$A$78,$A10,Data!$B$3:$B$78,2023),"n/a")</f>
        <v>304.60000000000002</v>
      </c>
      <c r="J10" s="32">
        <f>IFERROR(SUMIFS(Data!K$3:K$78,Data!$A$3:$A$78,$A10,Data!$B$3:$B$78,2023),"n/a")</f>
        <v>508.72</v>
      </c>
      <c r="K10" s="32">
        <f>IFERROR(SUMIFS(Data!L$3:L$78,Data!$A$3:$A$78,$A10,Data!$B$3:$B$78,2023),"n/a")</f>
        <v>2253408.5699999998</v>
      </c>
      <c r="L10" s="32">
        <f>IFERROR(SUMIFS(Data!M$3:M$78,Data!$A$3:$A$78,$A10,Data!$B$3:$B$78,2023),"n/a")</f>
        <v>1808.45</v>
      </c>
      <c r="M10" s="32">
        <f>IFERROR(SUMIFS(Data!N$3:N$78,Data!$A$3:$A$78,$A10,Data!$B$3:$B$78,2023),"n/a")</f>
        <v>1629.46</v>
      </c>
      <c r="N10" s="32">
        <f>IFERROR(SUMIFS(Data!O$3:O$78,Data!$A$3:$A$78,$A10,Data!$B$3:$B$78,2023),"n/a")</f>
        <v>510</v>
      </c>
      <c r="O10" s="32">
        <f>IFERROR(SUMIFS(Data!P$3:P$78,Data!$A$3:$A$78,$A10,Data!$B$3:$B$78,2023),"n/a")</f>
        <v>1770</v>
      </c>
      <c r="P10" s="32">
        <f>IFERROR(SUMIFS(Data!Q$3:Q$78,Data!$A$3:$A$78,$A10,Data!$B$3:$B$78,2023),"n/a")</f>
        <v>2204382.4300000002</v>
      </c>
      <c r="Q10" s="33">
        <f>IFERROR(SUMIFS(Data!R$3:R$78,Data!$A$3:$A$78,$A10,Data!$B$3:$B$78,2023),"n/a")</f>
        <v>68767800000000</v>
      </c>
      <c r="R10" s="30">
        <f>IFERROR(SUMIFS(Data!S$3:S$78,Data!$A$3:$A$78,$A10,Data!$B$3:$B$78,2021),"n/a")</f>
        <v>83.9</v>
      </c>
      <c r="S10" s="34">
        <f>IFERROR(SUMIFS(Data!T$3:T$78,Data!$A$3:$A$78,$A10,Data!$B$3:$B$78,2023),"n/a")</f>
        <v>1.72</v>
      </c>
      <c r="T10" s="33">
        <f>IFERROR(SUMIFS(Data!U$3:U$78,Data!$A$3:$A$78,$A10,Data!$B$3:$B$78,2023),"n/a")</f>
        <v>12596877000000</v>
      </c>
      <c r="U10" s="35">
        <f>IFERROR(SUMIFS(Data!V$3:V$78,Data!$A$3:$A$78,$A10,Data!$B$3:$B$78,2023),"n/a")</f>
        <v>1246.05</v>
      </c>
      <c r="V10" s="35">
        <f>IFERROR(SUMIFS(Data!W$3:W$78,Data!$A$3:$A$78,$A10,Data!$B$3:$B$78,2023),"n/a")</f>
        <v>4429.58</v>
      </c>
      <c r="W10" s="35">
        <f>IFERROR(SUMIFS(Data!X$3:X$78,Data!$A$3:$A$78,$A10,Data!$B$3:$B$78,2023),"n/a")</f>
        <v>4429.58</v>
      </c>
      <c r="X10" s="31">
        <f>IFERROR(SUMIFS(Data!Y$3:Y$78,Data!$A$3:$A$78,$A10,Data!$B$3:$B$78,2023),"n/a")</f>
        <v>0.28000000000000003</v>
      </c>
      <c r="Y10" s="35">
        <f>IFERROR(SUMIFS(Data!Z$3:Z$78,Data!$A$3:$A$78,$A10,Data!$B$3:$B$78,2023),"n/a")</f>
        <v>1196.04</v>
      </c>
    </row>
    <row r="11" spans="1:25" x14ac:dyDescent="0.3">
      <c r="A11" s="27" t="s">
        <v>67</v>
      </c>
      <c r="B11" s="29">
        <f>IFERROR(SUMIFS(Data!C$3:C$78,Data!$A$3:$A$78,$A11,Data!$B$3:$B$78,2023),"n/a")</f>
        <v>12712150082</v>
      </c>
      <c r="C11" s="29">
        <f>IFERROR(SUMIFS(Data!D$3:D$78,Data!$A$3:$A$78,$A11,Data!$B$3:$B$78,2023),"n/a")</f>
        <v>14760000000000</v>
      </c>
      <c r="D11" s="30">
        <f>IFERROR(SUMIFS(Data!E$3:E$78,Data!$A$3:$A$78,$A11,Data!$B$3:$B$78,2023),"n/a")</f>
        <v>1.89</v>
      </c>
      <c r="E11" s="29">
        <f>IFERROR(SUMIFS(Data!F$3:F$78,Data!$A$3:$A$78,$A11,Data!$B$3:$B$78,2023),"n/a")</f>
        <v>38610812097</v>
      </c>
      <c r="F11" s="29">
        <f>IFERROR(SUMIFS(Data!G$3:G$78,Data!$A$3:$A$78,$A11,Data!$B$3:$B$78,2023),"n/a")</f>
        <v>11749794461</v>
      </c>
      <c r="G11" s="29">
        <f>IFERROR(SUMIFS(Data!H$3:H$78,Data!$A$3:$A$78,$A11,Data!$B$3:$B$78,2023),"n/a")</f>
        <v>7808390000000</v>
      </c>
      <c r="H11" s="29">
        <f>IFERROR(SUMIFS(Data!I$3:I$78,Data!$A$3:$A$78,$A11,Data!$B$3:$B$78,2023),"n/a")</f>
        <v>34789398822</v>
      </c>
      <c r="I11" s="31">
        <f>IFERROR(SUMIFS(Data!J$3:J$78,Data!$A$3:$A$78,$A11,Data!$B$3:$B$78,2023),"n/a")</f>
        <v>189.03</v>
      </c>
      <c r="J11" s="32">
        <f>IFERROR(SUMIFS(Data!K$3:K$78,Data!$A$3:$A$78,$A11,Data!$B$3:$B$78,2023),"n/a")</f>
        <v>602.34</v>
      </c>
      <c r="K11" s="32">
        <f>IFERROR(SUMIFS(Data!L$3:L$78,Data!$A$3:$A$78,$A11,Data!$B$3:$B$78,2023),"n/a")</f>
        <v>699377.78</v>
      </c>
      <c r="L11" s="32">
        <f>IFERROR(SUMIFS(Data!M$3:M$78,Data!$A$3:$A$78,$A11,Data!$B$3:$B$78,2023),"n/a")</f>
        <v>1829.51</v>
      </c>
      <c r="M11" s="32">
        <f>IFERROR(SUMIFS(Data!N$3:N$78,Data!$A$3:$A$78,$A11,Data!$B$3:$B$78,2023),"n/a")</f>
        <v>1648.44</v>
      </c>
      <c r="N11" s="32">
        <f>IFERROR(SUMIFS(Data!O$3:O$78,Data!$A$3:$A$78,$A11,Data!$B$3:$B$78,2023),"n/a")</f>
        <v>600</v>
      </c>
      <c r="O11" s="32">
        <f>IFERROR(SUMIFS(Data!P$3:P$78,Data!$A$3:$A$78,$A11,Data!$B$3:$B$78,2023),"n/a")</f>
        <v>1780</v>
      </c>
      <c r="P11" s="32">
        <f>IFERROR(SUMIFS(Data!Q$3:Q$78,Data!$A$3:$A$78,$A11,Data!$B$3:$B$78,2023),"n/a")</f>
        <v>679406.67</v>
      </c>
      <c r="Q11" s="33">
        <f>IFERROR(SUMIFS(Data!R$3:R$78,Data!$A$3:$A$78,$A11,Data!$B$3:$B$78,2023),"n/a")</f>
        <v>14338500000000</v>
      </c>
      <c r="R11" s="36" t="s">
        <v>78</v>
      </c>
      <c r="S11" s="34">
        <f>IFERROR(SUMIFS(Data!T$3:T$78,Data!$A$3:$A$78,$A11,Data!$B$3:$B$78,2023),"n/a")</f>
        <v>1.22</v>
      </c>
      <c r="T11" s="33">
        <f>IFERROR(SUMIFS(Data!U$3:U$78,Data!$A$3:$A$78,$A11,Data!$B$3:$B$78,2023),"n/a")</f>
        <v>3943286000000</v>
      </c>
      <c r="U11" s="35">
        <f>IFERROR(SUMIFS(Data!V$3:V$78,Data!$A$3:$A$78,$A11,Data!$B$3:$B$78,2023),"n/a")</f>
        <v>382.28</v>
      </c>
      <c r="V11" s="35">
        <f>IFERROR(SUMIFS(Data!W$3:W$78,Data!$A$3:$A$78,$A11,Data!$B$3:$B$78,2023),"n/a")</f>
        <v>1161.0899999999999</v>
      </c>
      <c r="W11" s="35">
        <f>IFERROR(SUMIFS(Data!X$3:X$78,Data!$A$3:$A$78,$A11,Data!$B$3:$B$78,2023),"n/a")</f>
        <v>1161.0899999999999</v>
      </c>
      <c r="X11" s="31">
        <f>IFERROR(SUMIFS(Data!Y$3:Y$78,Data!$A$3:$A$78,$A11,Data!$B$3:$B$78,2023),"n/a")</f>
        <v>0.33</v>
      </c>
      <c r="Y11" s="35">
        <f>IFERROR(SUMIFS(Data!Z$3:Z$78,Data!$A$3:$A$78,$A11,Data!$B$3:$B$78,2023),"n/a")</f>
        <v>390.79</v>
      </c>
    </row>
    <row r="12" spans="1:25" x14ac:dyDescent="0.3">
      <c r="A12" s="27" t="s">
        <v>68</v>
      </c>
      <c r="B12" s="29">
        <f>IFERROR(SUMIFS(Data!C$3:C$78,Data!$A$3:$A$78,$A12,Data!$B$3:$B$78,2023),"n/a")</f>
        <v>14101195733</v>
      </c>
      <c r="C12" s="29">
        <f>IFERROR(SUMIFS(Data!D$3:D$78,Data!$A$3:$A$78,$A12,Data!$B$3:$B$78,2023),"n/a")</f>
        <v>638322000000</v>
      </c>
      <c r="D12" s="30">
        <f>IFERROR(SUMIFS(Data!E$3:E$78,Data!$A$3:$A$78,$A12,Data!$B$3:$B$78,2023),"n/a")</f>
        <v>5.01</v>
      </c>
      <c r="E12" s="29">
        <f>IFERROR(SUMIFS(Data!F$3:F$78,Data!$A$3:$A$78,$A12,Data!$B$3:$B$78,2023),"n/a")</f>
        <v>36473533933</v>
      </c>
      <c r="F12" s="29">
        <f>IFERROR(SUMIFS(Data!G$3:G$78,Data!$A$3:$A$78,$A12,Data!$B$3:$B$78,2023),"n/a")</f>
        <v>13989676007</v>
      </c>
      <c r="G12" s="29">
        <f>IFERROR(SUMIFS(Data!H$3:H$78,Data!$A$3:$A$78,$A12,Data!$B$3:$B$78,2023),"n/a")</f>
        <v>518894000000</v>
      </c>
      <c r="H12" s="29">
        <f>IFERROR(SUMIFS(Data!I$3:I$78,Data!$A$3:$A$78,$A12,Data!$B$3:$B$78,2023),"n/a")</f>
        <v>32863652680</v>
      </c>
      <c r="I12" s="31">
        <f>IFERROR(SUMIFS(Data!J$3:J$78,Data!$A$3:$A$78,$A12,Data!$B$3:$B$78,2023),"n/a")</f>
        <v>123.02</v>
      </c>
      <c r="J12" s="32">
        <f>IFERROR(SUMIFS(Data!K$3:K$78,Data!$A$3:$A$78,$A12,Data!$B$3:$B$78,2023),"n/a")</f>
        <v>11182.19</v>
      </c>
      <c r="K12" s="32">
        <f>IFERROR(SUMIFS(Data!L$3:L$78,Data!$A$3:$A$78,$A12,Data!$B$3:$B$78,2023),"n/a")</f>
        <v>506186.56</v>
      </c>
      <c r="L12" s="32">
        <f>IFERROR(SUMIFS(Data!M$3:M$78,Data!$A$3:$A$78,$A12,Data!$B$3:$B$78,2023),"n/a")</f>
        <v>28923.35</v>
      </c>
      <c r="M12" s="32">
        <f>IFERROR(SUMIFS(Data!N$3:N$78,Data!$A$3:$A$78,$A12,Data!$B$3:$B$78,2023),"n/a")</f>
        <v>26060.73</v>
      </c>
      <c r="N12" s="32">
        <f>IFERROR(SUMIFS(Data!O$3:O$78,Data!$A$3:$A$78,$A12,Data!$B$3:$B$78,2023),"n/a")</f>
        <v>12070</v>
      </c>
      <c r="O12" s="32">
        <f>IFERROR(SUMIFS(Data!P$3:P$78,Data!$A$3:$A$78,$A12,Data!$B$3:$B$78,2023),"n/a")</f>
        <v>31670</v>
      </c>
      <c r="P12" s="32">
        <f>IFERROR(SUMIFS(Data!Q$3:Q$78,Data!$A$3:$A$78,$A12,Data!$B$3:$B$78,2023),"n/a")</f>
        <v>554172.31000000006</v>
      </c>
      <c r="Q12" s="33">
        <f>IFERROR(SUMIFS(Data!R$3:R$78,Data!$A$3:$A$78,$A12,Data!$B$3:$B$78,2023),"n/a")</f>
        <v>698834000000</v>
      </c>
      <c r="R12" s="36" t="s">
        <v>78</v>
      </c>
      <c r="S12" s="34">
        <f>IFERROR(SUMIFS(Data!T$3:T$78,Data!$A$3:$A$78,$A12,Data!$B$3:$B$78,2023),"n/a")</f>
        <v>12.6</v>
      </c>
      <c r="T12" s="33">
        <f>IFERROR(SUMIFS(Data!U$3:U$78,Data!$A$3:$A$78,$A12,Data!$B$3:$B$78,2023),"n/a")</f>
        <v>191021000000</v>
      </c>
      <c r="U12" s="35">
        <f>IFERROR(SUMIFS(Data!V$3:V$78,Data!$A$3:$A$78,$A12,Data!$B$3:$B$78,2023),"n/a")</f>
        <v>17.5</v>
      </c>
      <c r="V12" s="35">
        <f>IFERROR(SUMIFS(Data!W$3:W$78,Data!$A$3:$A$78,$A12,Data!$B$3:$B$78,2023),"n/a")</f>
        <v>45.27</v>
      </c>
      <c r="W12" s="35">
        <f>IFERROR(SUMIFS(Data!X$3:X$78,Data!$A$3:$A$78,$A12,Data!$B$3:$B$78,2023),"n/a")</f>
        <v>45.27</v>
      </c>
      <c r="X12" s="31">
        <f>IFERROR(SUMIFS(Data!Y$3:Y$78,Data!$A$3:$A$78,$A12,Data!$B$3:$B$78,2023),"n/a")</f>
        <v>0.39</v>
      </c>
      <c r="Y12" s="35">
        <f>IFERROR(SUMIFS(Data!Z$3:Z$78,Data!$A$3:$A$78,$A12,Data!$B$3:$B$78,2023),"n/a")</f>
        <v>19.79</v>
      </c>
    </row>
    <row r="13" spans="1:25" x14ac:dyDescent="0.3">
      <c r="A13" s="27" t="s">
        <v>69</v>
      </c>
      <c r="B13" s="29">
        <f>IFERROR(SUMIFS(Data!C$3:C$78,Data!$A$3:$A$78,$A13,Data!$B$3:$B$78,2023),"n/a")</f>
        <v>20954220984</v>
      </c>
      <c r="C13" s="29">
        <f>IFERROR(SUMIFS(Data!D$3:D$78,Data!$A$3:$A$78,$A13,Data!$B$3:$B$78,2023),"n/a")</f>
        <v>1338680000000</v>
      </c>
      <c r="D13" s="30">
        <f>IFERROR(SUMIFS(Data!E$3:E$78,Data!$A$3:$A$78,$A13,Data!$B$3:$B$78,2023),"n/a")</f>
        <v>5.44</v>
      </c>
      <c r="E13" s="29">
        <f>IFERROR(SUMIFS(Data!F$3:F$78,Data!$A$3:$A$78,$A13,Data!$B$3:$B$78,2023),"n/a")</f>
        <v>56429069635</v>
      </c>
      <c r="F13" s="29">
        <f>IFERROR(SUMIFS(Data!G$3:G$78,Data!$A$3:$A$78,$A13,Data!$B$3:$B$78,2023),"n/a")</f>
        <v>20523332839</v>
      </c>
      <c r="G13" s="29">
        <f>IFERROR(SUMIFS(Data!H$3:H$78,Data!$A$3:$A$78,$A13,Data!$B$3:$B$78,2023),"n/a")</f>
        <v>1079750000000</v>
      </c>
      <c r="H13" s="29">
        <f>IFERROR(SUMIFS(Data!I$3:I$78,Data!$A$3:$A$78,$A13,Data!$B$3:$B$78,2023),"n/a")</f>
        <v>50844136708</v>
      </c>
      <c r="I13" s="31">
        <f>IFERROR(SUMIFS(Data!J$3:J$78,Data!$A$3:$A$78,$A13,Data!$B$3:$B$78,2023),"n/a")</f>
        <v>123.98</v>
      </c>
      <c r="J13" s="32">
        <f>IFERROR(SUMIFS(Data!K$3:K$78,Data!$A$3:$A$78,$A13,Data!$B$3:$B$78,2023),"n/a")</f>
        <v>622.99</v>
      </c>
      <c r="K13" s="32">
        <f>IFERROR(SUMIFS(Data!L$3:L$78,Data!$A$3:$A$78,$A13,Data!$B$3:$B$78,2023),"n/a")</f>
        <v>39799.96</v>
      </c>
      <c r="L13" s="32">
        <f>IFERROR(SUMIFS(Data!M$3:M$78,Data!$A$3:$A$78,$A13,Data!$B$3:$B$78,2023),"n/a")</f>
        <v>1677.68</v>
      </c>
      <c r="M13" s="32">
        <f>IFERROR(SUMIFS(Data!N$3:N$78,Data!$A$3:$A$78,$A13,Data!$B$3:$B$78,2023),"n/a")</f>
        <v>1511.64</v>
      </c>
      <c r="N13" s="32">
        <f>IFERROR(SUMIFS(Data!O$3:O$78,Data!$A$3:$A$78,$A13,Data!$B$3:$B$78,2023),"n/a")</f>
        <v>540</v>
      </c>
      <c r="O13" s="32">
        <f>IFERROR(SUMIFS(Data!P$3:P$78,Data!$A$3:$A$78,$A13,Data!$B$3:$B$78,2023),"n/a")</f>
        <v>1530</v>
      </c>
      <c r="P13" s="32">
        <f>IFERROR(SUMIFS(Data!Q$3:Q$78,Data!$A$3:$A$78,$A13,Data!$B$3:$B$78,2023),"n/a")</f>
        <v>36310.410000000003</v>
      </c>
      <c r="Q13" s="33">
        <f>IFERROR(SUMIFS(Data!R$3:R$78,Data!$A$3:$A$78,$A13,Data!$B$3:$B$78,2023),"n/a")</f>
        <v>1221310000000</v>
      </c>
      <c r="R13" s="30">
        <f>IFERROR(SUMIFS(Data!S$3:S$78,Data!$A$3:$A$78,$A13,Data!$B$3:$B$78,2022),"n/a")</f>
        <v>89.1</v>
      </c>
      <c r="S13" s="34">
        <f>IFERROR(SUMIFS(Data!T$3:T$78,Data!$A$3:$A$78,$A13,Data!$B$3:$B$78,2023),"n/a")</f>
        <v>22.7</v>
      </c>
      <c r="T13" s="33">
        <f>IFERROR(SUMIFS(Data!U$3:U$78,Data!$A$3:$A$78,$A13,Data!$B$3:$B$78,2023),"n/a")</f>
        <v>445500000000</v>
      </c>
      <c r="U13" s="35">
        <f>IFERROR(SUMIFS(Data!V$3:V$78,Data!$A$3:$A$78,$A13,Data!$B$3:$B$78,2023),"n/a")</f>
        <v>23.72</v>
      </c>
      <c r="V13" s="35">
        <f>IFERROR(SUMIFS(Data!W$3:W$78,Data!$A$3:$A$78,$A13,Data!$B$3:$B$78,2023),"n/a")</f>
        <v>63.89</v>
      </c>
      <c r="W13" s="35">
        <f>IFERROR(SUMIFS(Data!X$3:X$78,Data!$A$3:$A$78,$A13,Data!$B$3:$B$78,2023),"n/a")</f>
        <v>63.89</v>
      </c>
      <c r="X13" s="31">
        <f>IFERROR(SUMIFS(Data!Y$3:Y$78,Data!$A$3:$A$78,$A13,Data!$B$3:$B$78,2023),"n/a")</f>
        <v>0.37</v>
      </c>
      <c r="Y13" s="35">
        <f>IFERROR(SUMIFS(Data!Z$3:Z$78,Data!$A$3:$A$78,$A13,Data!$B$3:$B$78,2023),"n/a")</f>
        <v>24.82</v>
      </c>
    </row>
    <row r="14" spans="1:25" x14ac:dyDescent="0.3">
      <c r="A14" s="27" t="s">
        <v>70</v>
      </c>
      <c r="B14" s="29">
        <f>IFERROR(SUMIFS(Data!C$3:C$78,Data!$A$3:$A$78,$A14,Data!$B$3:$B$78,2023),"n/a")</f>
        <v>14331722700</v>
      </c>
      <c r="C14" s="29">
        <f>IFERROR(SUMIFS(Data!D$3:D$78,Data!$A$3:$A$78,$A14,Data!$B$3:$B$78,2023),"n/a")</f>
        <v>16626200000000</v>
      </c>
      <c r="D14" s="30">
        <f>IFERROR(SUMIFS(Data!E$3:E$78,Data!$A$3:$A$78,$A14,Data!$B$3:$B$78,2023),"n/a")</f>
        <v>8.25</v>
      </c>
      <c r="E14" s="29">
        <f>IFERROR(SUMIFS(Data!F$3:F$78,Data!$A$3:$A$78,$A14,Data!$B$3:$B$78,2023),"n/a")</f>
        <v>47437550806</v>
      </c>
      <c r="F14" s="29">
        <f>IFERROR(SUMIFS(Data!G$3:G$78,Data!$A$3:$A$78,$A14,Data!$B$3:$B$78,2023),"n/a")</f>
        <v>14014924102</v>
      </c>
      <c r="G14" s="29">
        <f>IFERROR(SUMIFS(Data!H$3:H$78,Data!$A$3:$A$78,$A14,Data!$B$3:$B$78,2023),"n/a")</f>
        <v>11461200000000</v>
      </c>
      <c r="H14" s="29">
        <f>IFERROR(SUMIFS(Data!I$3:I$78,Data!$A$3:$A$78,$A14,Data!$B$3:$B$78,2023),"n/a")</f>
        <v>42742532065</v>
      </c>
      <c r="I14" s="31">
        <f>IFERROR(SUMIFS(Data!J$3:J$78,Data!$A$3:$A$78,$A14,Data!$B$3:$B$78,2023),"n/a")</f>
        <v>145.07</v>
      </c>
      <c r="J14" s="32">
        <f>IFERROR(SUMIFS(Data!K$3:K$78,Data!$A$3:$A$78,$A14,Data!$B$3:$B$78,2023),"n/a")</f>
        <v>1027.03</v>
      </c>
      <c r="K14" s="32">
        <f>IFERROR(SUMIFS(Data!L$3:L$78,Data!$A$3:$A$78,$A14,Data!$B$3:$B$78,2023),"n/a")</f>
        <v>1191461.3400000001</v>
      </c>
      <c r="L14" s="32">
        <f>IFERROR(SUMIFS(Data!M$3:M$78,Data!$A$3:$A$78,$A14,Data!$B$3:$B$78,2023),"n/a")</f>
        <v>3399.45</v>
      </c>
      <c r="M14" s="32">
        <f>IFERROR(SUMIFS(Data!N$3:N$78,Data!$A$3:$A$78,$A14,Data!$B$3:$B$78,2023),"n/a")</f>
        <v>3063</v>
      </c>
      <c r="N14" s="32">
        <f>IFERROR(SUMIFS(Data!O$3:O$78,Data!$A$3:$A$78,$A14,Data!$B$3:$B$78,2023),"n/a")</f>
        <v>1000</v>
      </c>
      <c r="O14" s="32">
        <f>IFERROR(SUMIFS(Data!P$3:P$78,Data!$A$3:$A$78,$A14,Data!$B$3:$B$78,2023),"n/a")</f>
        <v>3330</v>
      </c>
      <c r="P14" s="32">
        <f>IFERROR(SUMIFS(Data!Q$3:Q$78,Data!$A$3:$A$78,$A14,Data!$B$3:$B$78,2023),"n/a")</f>
        <v>1168170.3899999999</v>
      </c>
      <c r="Q14" s="33">
        <f>IFERROR(SUMIFS(Data!R$3:R$78,Data!$A$3:$A$78,$A14,Data!$B$3:$B$78,2023),"n/a")</f>
        <v>16301200000000</v>
      </c>
      <c r="R14" s="30">
        <f>IFERROR(SUMIFS(Data!S$3:S$78,Data!$A$3:$A$78,$A14,Data!$B$3:$B$78,2022),"n/a")</f>
        <v>62.2</v>
      </c>
      <c r="S14" s="34">
        <f>IFERROR(SUMIFS(Data!T$3:T$78,Data!$A$3:$A$78,$A14,Data!$B$3:$B$78,2023),"n/a")</f>
        <v>3.88</v>
      </c>
      <c r="T14" s="33">
        <f>IFERROR(SUMIFS(Data!U$3:U$78,Data!$A$3:$A$78,$A14,Data!$B$3:$B$78,2023),"n/a")</f>
        <v>4492736000000</v>
      </c>
      <c r="U14" s="35">
        <f>IFERROR(SUMIFS(Data!V$3:V$78,Data!$A$3:$A$78,$A14,Data!$B$3:$B$78,2023),"n/a")</f>
        <v>350.49</v>
      </c>
      <c r="V14" s="35">
        <f>IFERROR(SUMIFS(Data!W$3:W$78,Data!$A$3:$A$78,$A14,Data!$B$3:$B$78,2023),"n/a")</f>
        <v>1160.0999999999999</v>
      </c>
      <c r="W14" s="35">
        <f>IFERROR(SUMIFS(Data!X$3:X$78,Data!$A$3:$A$78,$A14,Data!$B$3:$B$78,2023),"n/a")</f>
        <v>1160.0999999999999</v>
      </c>
      <c r="X14" s="31">
        <f>IFERROR(SUMIFS(Data!Y$3:Y$78,Data!$A$3:$A$78,$A14,Data!$B$3:$B$78,2023),"n/a")</f>
        <v>0.3</v>
      </c>
      <c r="Y14" s="35">
        <f>IFERROR(SUMIFS(Data!Z$3:Z$78,Data!$A$3:$A$78,$A14,Data!$B$3:$B$78,2023),"n/a")</f>
        <v>365.58</v>
      </c>
    </row>
    <row r="15" spans="1:25" x14ac:dyDescent="0.3">
      <c r="A15" s="27" t="s">
        <v>71</v>
      </c>
      <c r="B15" s="29">
        <f>IFERROR(SUMIFS(Data!C$3:C$78,Data!$A$3:$A$78,$A15,Data!$B$3:$B$78,2023),"n/a")</f>
        <v>2187379755</v>
      </c>
      <c r="C15" s="29">
        <f>IFERROR(SUMIFS(Data!D$3:D$78,Data!$A$3:$A$78,$A15,Data!$B$3:$B$78,2023),"n/a")</f>
        <v>30662932200</v>
      </c>
      <c r="D15" s="30">
        <f>IFERROR(SUMIFS(Data!E$3:E$78,Data!$A$3:$A$78,$A15,Data!$B$3:$B$78,2023),"n/a")</f>
        <v>2.2599999999999998</v>
      </c>
      <c r="E15" s="29">
        <f>IFERROR(SUMIFS(Data!F$3:F$78,Data!$A$3:$A$78,$A15,Data!$B$3:$B$78,2023),"n/a")</f>
        <v>3806479822</v>
      </c>
      <c r="F15" s="29">
        <f>IFERROR(SUMIFS(Data!G$3:G$78,Data!$A$3:$A$78,$A15,Data!$B$3:$B$78,2023),"n/a")</f>
        <v>1945405358</v>
      </c>
      <c r="G15" s="29">
        <f>IFERROR(SUMIFS(Data!H$3:H$78,Data!$A$3:$A$78,$A15,Data!$B$3:$B$78,2023),"n/a")</f>
        <v>26163449200</v>
      </c>
      <c r="H15" s="29">
        <f>IFERROR(SUMIFS(Data!I$3:I$78,Data!$A$3:$A$78,$A15,Data!$B$3:$B$78,2023),"n/a")</f>
        <v>3429742537</v>
      </c>
      <c r="I15" s="31">
        <f>IFERROR(SUMIFS(Data!J$3:J$78,Data!$A$3:$A$78,$A15,Data!$B$3:$B$78,2023),"n/a")</f>
        <v>117.2</v>
      </c>
      <c r="J15" s="32">
        <f>IFERROR(SUMIFS(Data!K$3:K$78,Data!$A$3:$A$78,$A15,Data!$B$3:$B$78,2023),"n/a")</f>
        <v>18262.71</v>
      </c>
      <c r="K15" s="32">
        <f>IFERROR(SUMIFS(Data!L$3:L$78,Data!$A$3:$A$78,$A15,Data!$B$3:$B$78,2023),"n/a")</f>
        <v>256008.72</v>
      </c>
      <c r="L15" s="32">
        <f>IFERROR(SUMIFS(Data!M$3:M$78,Data!$A$3:$A$78,$A15,Data!$B$3:$B$78,2023),"n/a")</f>
        <v>31780.78</v>
      </c>
      <c r="M15" s="32">
        <f>IFERROR(SUMIFS(Data!N$3:N$78,Data!$A$3:$A$78,$A15,Data!$B$3:$B$78,2023),"n/a")</f>
        <v>28635.360000000001</v>
      </c>
      <c r="N15" s="32">
        <f>IFERROR(SUMIFS(Data!O$3:O$78,Data!$A$3:$A$78,$A15,Data!$B$3:$B$78,2023),"n/a")</f>
        <v>16400</v>
      </c>
      <c r="O15" s="32">
        <f>IFERROR(SUMIFS(Data!P$3:P$78,Data!$A$3:$A$78,$A15,Data!$B$3:$B$78,2023),"n/a")</f>
        <v>30920</v>
      </c>
      <c r="P15" s="32">
        <f>IFERROR(SUMIFS(Data!Q$3:Q$78,Data!$A$3:$A$78,$A15,Data!$B$3:$B$78,2023),"n/a")</f>
        <v>249062.24</v>
      </c>
      <c r="Q15" s="33">
        <f>IFERROR(SUMIFS(Data!R$3:R$78,Data!$A$3:$A$78,$A15,Data!$B$3:$B$78,2023),"n/a")</f>
        <v>29830932200</v>
      </c>
      <c r="R15" s="36" t="s">
        <v>78</v>
      </c>
      <c r="S15" s="37" t="s">
        <v>78</v>
      </c>
      <c r="T15" s="33">
        <f>IFERROR(SUMIFS(Data!U$3:U$78,Data!$A$3:$A$78,$A15,Data!$B$3:$B$78,2023),"n/a")</f>
        <v>10077000000</v>
      </c>
      <c r="U15" s="35">
        <f>IFERROR(SUMIFS(Data!V$3:V$78,Data!$A$3:$A$78,$A15,Data!$B$3:$B$78,2023),"n/a")</f>
        <v>8.06</v>
      </c>
      <c r="V15" s="35">
        <f>IFERROR(SUMIFS(Data!W$3:W$78,Data!$A$3:$A$78,$A15,Data!$B$3:$B$78,2023),"n/a")</f>
        <v>14.02</v>
      </c>
      <c r="W15" s="35">
        <f>IFERROR(SUMIFS(Data!X$3:X$78,Data!$A$3:$A$78,$A15,Data!$B$3:$B$78,2023),"n/a")</f>
        <v>14.02</v>
      </c>
      <c r="X15" s="31">
        <f>IFERROR(SUMIFS(Data!Y$3:Y$78,Data!$A$3:$A$78,$A15,Data!$B$3:$B$78,2023),"n/a")</f>
        <v>0.56999999999999995</v>
      </c>
      <c r="Y15" s="35">
        <f>IFERROR(SUMIFS(Data!Z$3:Z$78,Data!$A$3:$A$78,$A15,Data!$B$3:$B$78,2023),"n/a")</f>
        <v>8.8800000000000008</v>
      </c>
    </row>
    <row r="16" spans="1:25" x14ac:dyDescent="0.3">
      <c r="A16" s="27" t="s">
        <v>72</v>
      </c>
      <c r="B16" s="29">
        <f>IFERROR(SUMIFS(Data!C$3:C$78,Data!$A$3:$A$78,$A16,Data!$B$3:$B$78,2023),"n/a")</f>
        <v>10968517090</v>
      </c>
      <c r="C16" s="29">
        <f>IFERROR(SUMIFS(Data!D$3:D$78,Data!$A$3:$A$78,$A16,Data!$B$3:$B$78,2023),"n/a")</f>
        <v>298621000000000</v>
      </c>
      <c r="D16" s="30">
        <f>IFERROR(SUMIFS(Data!E$3:E$78,Data!$A$3:$A$78,$A16,Data!$B$3:$B$78,2023),"n/a")</f>
        <v>4.22</v>
      </c>
      <c r="E16" s="29">
        <f>IFERROR(SUMIFS(Data!F$3:F$78,Data!$A$3:$A$78,$A16,Data!$B$3:$B$78,2023),"n/a")</f>
        <v>28575608117</v>
      </c>
      <c r="F16" s="29">
        <f>IFERROR(SUMIFS(Data!G$3:G$78,Data!$A$3:$A$78,$A16,Data!$B$3:$B$78,2023),"n/a")</f>
        <v>8539706139</v>
      </c>
      <c r="G16" s="29">
        <f>IFERROR(SUMIFS(Data!H$3:H$78,Data!$A$3:$A$78,$A16,Data!$B$3:$B$78,2023),"n/a")</f>
        <v>285309000000000</v>
      </c>
      <c r="H16" s="29">
        <f>IFERROR(SUMIFS(Data!I$3:I$78,Data!$A$3:$A$78,$A16,Data!$B$3:$B$78,2023),"n/a")</f>
        <v>25747405283</v>
      </c>
      <c r="I16" s="31">
        <f>IFERROR(SUMIFS(Data!J$3:J$78,Data!$A$3:$A$78,$A16,Data!$B$3:$B$78,2023),"n/a")</f>
        <v>104.67</v>
      </c>
      <c r="J16" s="32">
        <f>IFERROR(SUMIFS(Data!K$3:K$78,Data!$A$3:$A$78,$A16,Data!$B$3:$B$78,2023),"n/a")</f>
        <v>597.46</v>
      </c>
      <c r="K16" s="32">
        <f>IFERROR(SUMIFS(Data!L$3:L$78,Data!$A$3:$A$78,$A16,Data!$B$3:$B$78,2023),"n/a")</f>
        <v>16266002.529999999</v>
      </c>
      <c r="L16" s="32">
        <f>IFERROR(SUMIFS(Data!M$3:M$78,Data!$A$3:$A$78,$A16,Data!$B$3:$B$78,2023),"n/a")</f>
        <v>1556.52</v>
      </c>
      <c r="M16" s="32">
        <f>IFERROR(SUMIFS(Data!N$3:N$78,Data!$A$3:$A$78,$A16,Data!$B$3:$B$78,2023),"n/a")</f>
        <v>1402.47</v>
      </c>
      <c r="N16" s="32">
        <f>IFERROR(SUMIFS(Data!O$3:O$78,Data!$A$3:$A$78,$A16,Data!$B$3:$B$78,2023),"n/a")</f>
        <v>590</v>
      </c>
      <c r="O16" s="32">
        <f>IFERROR(SUMIFS(Data!P$3:P$78,Data!$A$3:$A$78,$A16,Data!$B$3:$B$78,2023),"n/a")</f>
        <v>1550</v>
      </c>
      <c r="P16" s="32">
        <f>IFERROR(SUMIFS(Data!Q$3:Q$78,Data!$A$3:$A$78,$A16,Data!$B$3:$B$78,2023),"n/a")</f>
        <v>16203717.710000001</v>
      </c>
      <c r="Q16" s="33">
        <f>IFERROR(SUMIFS(Data!R$3:R$78,Data!$A$3:$A$78,$A16,Data!$B$3:$B$78,2023),"n/a")</f>
        <v>297478000000000</v>
      </c>
      <c r="R16" s="36" t="s">
        <v>78</v>
      </c>
      <c r="S16" s="34">
        <f>IFERROR(SUMIFS(Data!T$3:T$78,Data!$A$3:$A$78,$A16,Data!$B$3:$B$78,2023),"n/a")</f>
        <v>3.32</v>
      </c>
      <c r="T16" s="33">
        <f>IFERROR(SUMIFS(Data!U$3:U$78,Data!$A$3:$A$78,$A16,Data!$B$3:$B$78,2023),"n/a")</f>
        <v>733000000</v>
      </c>
      <c r="U16" s="35">
        <f>IFERROR(SUMIFS(Data!V$3:V$78,Data!$A$3:$A$78,$A16,Data!$B$3:$B$78,2023),"n/a")</f>
        <v>10450.219999999999</v>
      </c>
      <c r="V16" s="35">
        <f>IFERROR(SUMIFS(Data!W$3:W$78,Data!$A$3:$A$78,$A16,Data!$B$3:$B$78,2023),"n/a")</f>
        <v>27225.31</v>
      </c>
      <c r="W16" s="36" t="s">
        <v>78</v>
      </c>
      <c r="X16" s="31">
        <f>IFERROR(SUMIFS(Data!Y$3:Y$78,Data!$A$3:$A$78,$A16,Data!$B$3:$B$78,2023),"n/a")</f>
        <v>0.38</v>
      </c>
      <c r="Y16" s="35">
        <f>IFERROR(SUMIFS(Data!Z$3:Z$78,Data!$A$3:$A$78,$A16,Data!$B$3:$B$78,2021),"n/a")</f>
        <v>10392.25</v>
      </c>
    </row>
    <row r="17" spans="1:25" x14ac:dyDescent="0.3">
      <c r="A17" s="27" t="s">
        <v>73</v>
      </c>
      <c r="B17" s="36" t="s">
        <v>78</v>
      </c>
      <c r="C17" s="36" t="s">
        <v>78</v>
      </c>
      <c r="D17" s="36" t="s">
        <v>78</v>
      </c>
      <c r="E17" s="36" t="s">
        <v>78</v>
      </c>
      <c r="F17" s="36" t="s">
        <v>78</v>
      </c>
      <c r="G17" s="36" t="s">
        <v>78</v>
      </c>
      <c r="H17" s="36" t="s">
        <v>78</v>
      </c>
      <c r="I17" s="36" t="s">
        <v>78</v>
      </c>
      <c r="J17" s="37" t="s">
        <v>78</v>
      </c>
      <c r="K17" s="37" t="s">
        <v>78</v>
      </c>
      <c r="L17" s="37" t="s">
        <v>78</v>
      </c>
      <c r="M17" s="37" t="s">
        <v>78</v>
      </c>
      <c r="N17" s="37" t="s">
        <v>78</v>
      </c>
      <c r="O17" s="37" t="s">
        <v>78</v>
      </c>
      <c r="P17" s="37" t="s">
        <v>78</v>
      </c>
      <c r="Q17" s="37" t="s">
        <v>78</v>
      </c>
      <c r="R17" s="36" t="s">
        <v>78</v>
      </c>
      <c r="S17" s="37" t="s">
        <v>78</v>
      </c>
      <c r="T17" s="33">
        <f>IFERROR(SUMIFS(Data!U$3:U$78,Data!$A$3:$A$78,$A17,Data!$B$3:$B$78,2023),"n/a")</f>
        <v>1478329000000</v>
      </c>
      <c r="U17" s="35">
        <f>IFERROR(SUMIFS(Data!V$3:V$78,Data!$A$3:$A$78,$A17,Data!$B$3:$B$78,2021),"n/a")</f>
        <v>126.74</v>
      </c>
      <c r="V17" s="35">
        <f>IFERROR(SUMIFS(Data!W$3:W$78,Data!$A$3:$A$78,$A17,Data!$B$3:$B$78,2023),"n/a")</f>
        <v>730.83</v>
      </c>
      <c r="W17" s="35">
        <f>IFERROR(SUMIFS(Data!X$3:X$78,Data!$A$3:$A$78,$A17,Data!$B$3:$B$78,2023),"n/a")</f>
        <v>930.33</v>
      </c>
      <c r="X17" s="31">
        <f>IFERROR(SUMIFS(Data!Y$3:Y$78,Data!$A$3:$A$78,$A17,Data!$B$3:$B$78,2021),"n/a")</f>
        <v>0.67</v>
      </c>
      <c r="Y17" s="35">
        <f>IFERROR(SUMIFS(Data!Z$3:Z$78,Data!$A$3:$A$78,$A17,Data!$B$3:$B$78,2021),"n/a")</f>
        <v>158.05000000000001</v>
      </c>
    </row>
    <row r="18" spans="1:25" x14ac:dyDescent="0.3">
      <c r="A18" s="27" t="s">
        <v>74</v>
      </c>
      <c r="B18" s="29">
        <f>IFERROR(SUMIFS(Data!C$3:C$78,Data!$A$3:$A$78,$A18,Data!$B$3:$B$78,2023),"n/a")</f>
        <v>48768955859</v>
      </c>
      <c r="C18" s="29">
        <f>IFERROR(SUMIFS(Data!D$3:D$78,Data!$A$3:$A$78,$A18,Data!$B$3:$B$78,2023),"n/a")</f>
        <v>183004000000000</v>
      </c>
      <c r="D18" s="30">
        <f>IFERROR(SUMIFS(Data!E$3:E$78,Data!$A$3:$A$78,$A18,Data!$B$3:$B$78,2023),"n/a")</f>
        <v>5.34</v>
      </c>
      <c r="E18" s="29">
        <f>IFERROR(SUMIFS(Data!F$3:F$78,Data!$A$3:$A$78,$A18,Data!$B$3:$B$78,2023),"n/a")</f>
        <v>150720000000</v>
      </c>
      <c r="F18" s="29">
        <f>IFERROR(SUMIFS(Data!G$3:G$78,Data!$A$3:$A$78,$A18,Data!$B$3:$B$78,2023),"n/a")</f>
        <v>46503341915</v>
      </c>
      <c r="G18" s="29">
        <f>IFERROR(SUMIFS(Data!H$3:H$78,Data!$A$3:$A$78,$A18,Data!$B$3:$B$78,2023),"n/a")</f>
        <v>144191000000000</v>
      </c>
      <c r="H18" s="29">
        <f>IFERROR(SUMIFS(Data!I$3:I$78,Data!$A$3:$A$78,$A18,Data!$B$3:$B$78,2023),"n/a")</f>
        <v>135803000000</v>
      </c>
      <c r="I18" s="31">
        <f>IFERROR(SUMIFS(Data!J$3:J$78,Data!$A$3:$A$78,$A18,Data!$B$3:$B$78,2023),"n/a")</f>
        <v>126.92</v>
      </c>
      <c r="J18" s="32">
        <f>IFERROR(SUMIFS(Data!K$3:K$78,Data!$A$3:$A$78,$A18,Data!$B$3:$B$78,2023),"n/a")</f>
        <v>1002.31</v>
      </c>
      <c r="K18" s="32">
        <f>IFERROR(SUMIFS(Data!L$3:L$78,Data!$A$3:$A$78,$A18,Data!$B$3:$B$78,2023),"n/a")</f>
        <v>3761142.02</v>
      </c>
      <c r="L18" s="32">
        <f>IFERROR(SUMIFS(Data!M$3:M$78,Data!$A$3:$A$78,$A18,Data!$B$3:$B$78,2023),"n/a")</f>
        <v>3097.64</v>
      </c>
      <c r="M18" s="32">
        <f>IFERROR(SUMIFS(Data!N$3:N$78,Data!$A$3:$A$78,$A18,Data!$B$3:$B$78,2023),"n/a")</f>
        <v>2791.06</v>
      </c>
      <c r="N18" s="32">
        <f>IFERROR(SUMIFS(Data!O$3:O$78,Data!$A$3:$A$78,$A18,Data!$B$3:$B$78,2023),"n/a")</f>
        <v>970</v>
      </c>
      <c r="O18" s="32">
        <f>IFERROR(SUMIFS(Data!P$3:P$78,Data!$A$3:$A$78,$A18,Data!$B$3:$B$78,2023),"n/a")</f>
        <v>3020</v>
      </c>
      <c r="P18" s="32">
        <f>IFERROR(SUMIFS(Data!Q$3:Q$78,Data!$A$3:$A$78,$A18,Data!$B$3:$B$78,2023),"n/a")</f>
        <v>3666392.9</v>
      </c>
      <c r="Q18" s="33">
        <f>IFERROR(SUMIFS(Data!R$3:R$78,Data!$A$3:$A$78,$A18,Data!$B$3:$B$78,2023),"n/a")</f>
        <v>178394000000000</v>
      </c>
      <c r="R18" s="36" t="s">
        <v>78</v>
      </c>
      <c r="S18" s="34">
        <f>IFERROR(SUMIFS(Data!T$3:T$78,Data!$A$3:$A$78,$A18,Data!$B$3:$B$78,2023),"n/a")</f>
        <v>4.99</v>
      </c>
      <c r="T18" s="33">
        <f>IFERROR(SUMIFS(Data!U$3:U$78,Data!$A$3:$A$78,$A18,Data!$B$3:$B$78,2023),"n/a")</f>
        <v>37342452000000</v>
      </c>
      <c r="U18" s="35">
        <f>IFERROR(SUMIFS(Data!V$3:V$78,Data!$A$3:$A$78,$A18,Data!$B$3:$B$78,2023),"n/a")</f>
        <v>1214.2</v>
      </c>
      <c r="V18" s="35">
        <f>IFERROR(SUMIFS(Data!W$3:W$78,Data!$A$3:$A$78,$A18,Data!$B$3:$B$78,2023),"n/a")</f>
        <v>3752.48</v>
      </c>
      <c r="W18" s="35">
        <f>IFERROR(SUMIFS(Data!X$3:X$78,Data!$A$3:$A$78,$A18,Data!$B$3:$B$78,2023),"n/a")</f>
        <v>3726.14</v>
      </c>
      <c r="X18" s="31">
        <f>IFERROR(SUMIFS(Data!Y$3:Y$78,Data!$A$3:$A$78,$A18,Data!$B$3:$B$78,2023),"n/a")</f>
        <v>0.32</v>
      </c>
      <c r="Y18" s="35">
        <f>IFERROR(SUMIFS(Data!Z$3:Z$78,Data!$A$3:$A$78,$A18,Data!$B$3:$B$78,2023),"n/a")</f>
        <v>1320.92</v>
      </c>
    </row>
    <row r="19" spans="1:25" x14ac:dyDescent="0.3">
      <c r="A19" s="27" t="s">
        <v>75</v>
      </c>
      <c r="B19" s="29">
        <f>IFERROR(SUMIFS(Data!C$3:C$78,Data!$A$3:$A$78,$A19,Data!$B$3:$B$78,2023),"n/a")</f>
        <v>79062403837</v>
      </c>
      <c r="C19" s="29">
        <f>IFERROR(SUMIFS(Data!D$3:D$78,Data!$A$3:$A$78,$A19,Data!$B$3:$B$78,2023),"n/a")</f>
        <v>183334000000000</v>
      </c>
      <c r="D19" s="30">
        <f>IFERROR(SUMIFS(Data!E$3:E$78,Data!$A$3:$A$78,$A19,Data!$B$3:$B$78,2023),"n/a")</f>
        <v>5.07</v>
      </c>
      <c r="E19" s="29">
        <f>IFERROR(SUMIFS(Data!F$3:F$78,Data!$A$3:$A$78,$A19,Data!$B$3:$B$78,2023),"n/a")</f>
        <v>259466000000</v>
      </c>
      <c r="F19" s="29">
        <f>IFERROR(SUMIFS(Data!G$3:G$78,Data!$A$3:$A$78,$A19,Data!$B$3:$B$78,2023),"n/a")</f>
        <v>70563656178</v>
      </c>
      <c r="G19" s="29">
        <f>IFERROR(SUMIFS(Data!H$3:H$78,Data!$A$3:$A$78,$A19,Data!$B$3:$B$78,2023),"n/a")</f>
        <v>140415000000000</v>
      </c>
      <c r="H19" s="29">
        <f>IFERROR(SUMIFS(Data!I$3:I$78,Data!$A$3:$A$78,$A19,Data!$B$3:$B$78,2023),"n/a")</f>
        <v>233786000000</v>
      </c>
      <c r="I19" s="31">
        <f>IFERROR(SUMIFS(Data!J$3:J$78,Data!$A$3:$A$78,$A19,Data!$B$3:$B$78,2023),"n/a")</f>
        <v>134.13</v>
      </c>
      <c r="J19" s="32">
        <f>IFERROR(SUMIFS(Data!K$3:K$78,Data!$A$3:$A$78,$A19,Data!$B$3:$B$78,2023),"n/a")</f>
        <v>1224.49</v>
      </c>
      <c r="K19" s="32">
        <f>IFERROR(SUMIFS(Data!L$3:L$78,Data!$A$3:$A$78,$A19,Data!$B$3:$B$78,2023),"n/a")</f>
        <v>2916849.5</v>
      </c>
      <c r="L19" s="32">
        <f>IFERROR(SUMIFS(Data!M$3:M$78,Data!$A$3:$A$78,$A19,Data!$B$3:$B$78,2023),"n/a")</f>
        <v>4018.52</v>
      </c>
      <c r="M19" s="32">
        <f>IFERROR(SUMIFS(Data!N$3:N$78,Data!$A$3:$A$78,$A19,Data!$B$3:$B$78,2023),"n/a")</f>
        <v>3620.79</v>
      </c>
      <c r="N19" s="32">
        <f>IFERROR(SUMIFS(Data!O$3:O$78,Data!$A$3:$A$78,$A19,Data!$B$3:$B$78,2023),"n/a")</f>
        <v>1220</v>
      </c>
      <c r="O19" s="32">
        <f>IFERROR(SUMIFS(Data!P$3:P$78,Data!$A$3:$A$78,$A19,Data!$B$3:$B$78,2023),"n/a")</f>
        <v>3940</v>
      </c>
      <c r="P19" s="32">
        <f>IFERROR(SUMIFS(Data!Q$3:Q$78,Data!$A$3:$A$78,$A19,Data!$B$3:$B$78,2023),"n/a")</f>
        <v>2861169.25</v>
      </c>
      <c r="Q19" s="33">
        <f>IFERROR(SUMIFS(Data!R$3:R$78,Data!$A$3:$A$78,$A19,Data!$B$3:$B$78,2023),"n/a")</f>
        <v>184739000000000</v>
      </c>
      <c r="R19" s="36" t="s">
        <v>78</v>
      </c>
      <c r="S19" s="34">
        <f>IFERROR(SUMIFS(Data!T$3:T$78,Data!$A$3:$A$78,$A19,Data!$B$3:$B$78,2023),"n/a")</f>
        <v>2.89</v>
      </c>
      <c r="T19" s="33">
        <f>IFERROR(SUMIFS(Data!U$3:U$78,Data!$A$3:$A$78,$A19,Data!$B$3:$B$78,2023),"n/a")</f>
        <v>35499690000000</v>
      </c>
      <c r="U19" s="35">
        <f>IFERROR(SUMIFS(Data!V$3:V$78,Data!$A$3:$A$78,$A19,Data!$B$3:$B$78,2023),"n/a")</f>
        <v>725.85</v>
      </c>
      <c r="V19" s="35">
        <f>IFERROR(SUMIFS(Data!W$3:W$78,Data!$A$3:$A$78,$A19,Data!$B$3:$B$78,2023),"n/a")</f>
        <v>2382.09</v>
      </c>
      <c r="W19" s="35">
        <f>IFERROR(SUMIFS(Data!X$3:X$78,Data!$A$3:$A$78,$A19,Data!$B$3:$B$78,2023),"n/a")</f>
        <v>2383.04</v>
      </c>
      <c r="X19" s="31">
        <f>IFERROR(SUMIFS(Data!Y$3:Y$78,Data!$A$3:$A$78,$A19,Data!$B$3:$B$78,2023),"n/a")</f>
        <v>0.3</v>
      </c>
      <c r="Y19" s="35">
        <f>IFERROR(SUMIFS(Data!Z$3:Z$78,Data!$A$3:$A$78,$A19,Data!$B$3:$B$78,2023),"n/a")</f>
        <v>656.79</v>
      </c>
    </row>
    <row r="20" spans="1:25" x14ac:dyDescent="0.3">
      <c r="A20" s="27" t="s">
        <v>76</v>
      </c>
      <c r="B20" s="29">
        <f>IFERROR(SUMIFS(Data!C$3:C$78,Data!$A$3:$A$78,$A20,Data!$B$3:$B$78,2023),"n/a")</f>
        <v>27577956471</v>
      </c>
      <c r="C20" s="29">
        <f>IFERROR(SUMIFS(Data!D$3:D$78,Data!$A$3:$A$78,$A20,Data!$B$3:$B$78,2023),"n/a")</f>
        <v>557406000000</v>
      </c>
      <c r="D20" s="30">
        <f>IFERROR(SUMIFS(Data!E$3:E$78,Data!$A$3:$A$78,$A20,Data!$B$3:$B$78,2023),"n/a")</f>
        <v>5.37</v>
      </c>
      <c r="E20" s="29">
        <f>IFERROR(SUMIFS(Data!F$3:F$78,Data!$A$3:$A$78,$A20,Data!$B$3:$B$78,2023),"n/a")</f>
        <v>84491503485</v>
      </c>
      <c r="F20" s="29">
        <f>IFERROR(SUMIFS(Data!G$3:G$78,Data!$A$3:$A$78,$A20,Data!$B$3:$B$78,2023),"n/a")</f>
        <v>27580695690</v>
      </c>
      <c r="G20" s="29">
        <f>IFERROR(SUMIFS(Data!H$3:H$78,Data!$A$3:$A$78,$A20,Data!$B$3:$B$78,2023),"n/a")</f>
        <v>162235000000</v>
      </c>
      <c r="H20" s="29">
        <f>IFERROR(SUMIFS(Data!I$3:I$78,Data!$A$3:$A$78,$A20,Data!$B$3:$B$78,2023),"n/a")</f>
        <v>76129157927</v>
      </c>
      <c r="I20" s="31">
        <f>IFERROR(SUMIFS(Data!J$3:J$78,Data!$A$3:$A$78,$A20,Data!$B$3:$B$78,2023),"n/a")</f>
        <v>343.58</v>
      </c>
      <c r="J20" s="32">
        <f>IFERROR(SUMIFS(Data!K$3:K$78,Data!$A$3:$A$78,$A20,Data!$B$3:$B$78,2023),"n/a")</f>
        <v>1330.73</v>
      </c>
      <c r="K20" s="32">
        <f>IFERROR(SUMIFS(Data!L$3:L$78,Data!$A$3:$A$78,$A20,Data!$B$3:$B$78,2023),"n/a")</f>
        <v>26896.69</v>
      </c>
      <c r="L20" s="32">
        <f>IFERROR(SUMIFS(Data!M$3:M$78,Data!$A$3:$A$78,$A20,Data!$B$3:$B$78,2023),"n/a")</f>
        <v>4077</v>
      </c>
      <c r="M20" s="32">
        <f>IFERROR(SUMIFS(Data!N$3:N$78,Data!$A$3:$A$78,$A20,Data!$B$3:$B$78,2023),"n/a")</f>
        <v>3673.48</v>
      </c>
      <c r="N20" s="32">
        <f>IFERROR(SUMIFS(Data!O$3:O$78,Data!$A$3:$A$78,$A20,Data!$B$3:$B$78,2023),"n/a")</f>
        <v>1290</v>
      </c>
      <c r="O20" s="32">
        <f>IFERROR(SUMIFS(Data!P$3:P$78,Data!$A$3:$A$78,$A20,Data!$B$3:$B$78,2023),"n/a")</f>
        <v>3880</v>
      </c>
      <c r="P20" s="32">
        <f>IFERROR(SUMIFS(Data!Q$3:Q$78,Data!$A$3:$A$78,$A20,Data!$B$3:$B$78,2023),"n/a")</f>
        <v>25622.81</v>
      </c>
      <c r="Q20" s="33">
        <f>IFERROR(SUMIFS(Data!R$3:R$78,Data!$A$3:$A$78,$A20,Data!$B$3:$B$78,2023),"n/a")</f>
        <v>531006000000</v>
      </c>
      <c r="R20" s="30">
        <f>IFERROR(SUMIFS(Data!S$3:S$78,Data!$A$3:$A$78,$A20,Data!$B$3:$B$78,2022),"n/a")</f>
        <v>81.400000000000006</v>
      </c>
      <c r="S20" s="34">
        <f>IFERROR(SUMIFS(Data!T$3:T$78,Data!$A$3:$A$78,$A20,Data!$B$3:$B$78,2023),"n/a")</f>
        <v>3.61</v>
      </c>
      <c r="T20" s="33">
        <f>IFERROR(SUMIFS(Data!U$3:U$78,Data!$A$3:$A$78,$A20,Data!$B$3:$B$78,2023),"n/a")</f>
        <v>152642000000</v>
      </c>
      <c r="U20" s="35">
        <f>IFERROR(SUMIFS(Data!V$3:V$78,Data!$A$3:$A$78,$A20,Data!$B$3:$B$78,2023),"n/a")</f>
        <v>6.6</v>
      </c>
      <c r="V20" s="35">
        <f>IFERROR(SUMIFS(Data!W$3:W$78,Data!$A$3:$A$78,$A20,Data!$B$3:$B$78,2023),"n/a")</f>
        <v>20.21</v>
      </c>
      <c r="W20" s="35">
        <f>IFERROR(SUMIFS(Data!X$3:X$78,Data!$A$3:$A$78,$A20,Data!$B$3:$B$78,2023),"n/a")</f>
        <v>20.21</v>
      </c>
      <c r="X20" s="31">
        <f>IFERROR(SUMIFS(Data!Y$3:Y$78,Data!$A$3:$A$78,$A20,Data!$B$3:$B$78,2023),"n/a")</f>
        <v>0.33</v>
      </c>
      <c r="Y20" s="35">
        <f>IFERROR(SUMIFS(Data!Z$3:Z$78,Data!$A$3:$A$78,$A20,Data!$B$3:$B$78,2023),"n/a")</f>
        <v>6.77</v>
      </c>
    </row>
    <row r="21" spans="1:25" x14ac:dyDescent="0.3">
      <c r="A21" s="27" t="s">
        <v>77</v>
      </c>
      <c r="B21" s="29">
        <f>IFERROR(SUMIFS(Data!C$3:C$78,Data!$A$3:$A$78,$A21,Data!$B$3:$B$78,2023),"n/a")</f>
        <v>35231369343</v>
      </c>
      <c r="C21" s="29">
        <f>IFERROR(SUMIFS(Data!D$3:D$78,Data!$A$3:$A$78,$A21,Data!$B$3:$B$78,2023),"n/a")</f>
        <v>53508663900</v>
      </c>
      <c r="D21" s="30">
        <f>IFERROR(SUMIFS(Data!E$3:E$78,Data!$A$3:$A$78,$A21,Data!$B$3:$B$78,2023),"n/a")</f>
        <v>5.34</v>
      </c>
      <c r="E21" s="29">
        <f>IFERROR(SUMIFS(Data!F$3:F$78,Data!$A$3:$A$78,$A21,Data!$B$3:$B$78,2023),"n/a")</f>
        <v>62427821460</v>
      </c>
      <c r="F21" s="29">
        <f>IFERROR(SUMIFS(Data!G$3:G$78,Data!$A$3:$A$78,$A21,Data!$B$3:$B$78,2023),"n/a")</f>
        <v>23164059016</v>
      </c>
      <c r="G21" s="29">
        <f>IFERROR(SUMIFS(Data!H$3:H$78,Data!$A$3:$A$78,$A21,Data!$B$3:$B$78,2023),"n/a")</f>
        <v>94925600</v>
      </c>
      <c r="H21" s="29">
        <f>IFERROR(SUMIFS(Data!I$3:I$78,Data!$A$3:$A$78,$A21,Data!$B$3:$B$78,2023),"n/a")</f>
        <v>56249176341</v>
      </c>
      <c r="I21" s="31">
        <f>IFERROR(SUMIFS(Data!J$3:J$78,Data!$A$3:$A$78,$A21,Data!$B$3:$B$78,2023),"n/a")</f>
        <v>56369.06</v>
      </c>
      <c r="J21" s="32">
        <f>IFERROR(SUMIFS(Data!K$3:K$78,Data!$A$3:$A$78,$A21,Data!$B$3:$B$78,2023),"n/a")</f>
        <v>2156.0300000000002</v>
      </c>
      <c r="K21" s="32">
        <f>IFERROR(SUMIFS(Data!L$3:L$78,Data!$A$3:$A$78,$A21,Data!$B$3:$B$78,2023),"n/a")</f>
        <v>3274.54</v>
      </c>
      <c r="L21" s="32">
        <f>IFERROR(SUMIFS(Data!M$3:M$78,Data!$A$3:$A$78,$A21,Data!$B$3:$B$78,2023),"n/a")</f>
        <v>3820.36</v>
      </c>
      <c r="M21" s="32">
        <f>IFERROR(SUMIFS(Data!N$3:N$78,Data!$A$3:$A$78,$A21,Data!$B$3:$B$78,2023),"n/a")</f>
        <v>3442.25</v>
      </c>
      <c r="N21" s="32">
        <f>IFERROR(SUMIFS(Data!O$3:O$78,Data!$A$3:$A$78,$A21,Data!$B$3:$B$78,2023),"n/a")</f>
        <v>2060</v>
      </c>
      <c r="O21" s="32">
        <f>IFERROR(SUMIFS(Data!P$3:P$78,Data!$A$3:$A$78,$A21,Data!$B$3:$B$78,2023),"n/a")</f>
        <v>3770</v>
      </c>
      <c r="P21" s="32">
        <f>IFERROR(SUMIFS(Data!Q$3:Q$78,Data!$A$3:$A$78,$A21,Data!$B$3:$B$78,2023),"n/a")</f>
        <v>3234.08</v>
      </c>
      <c r="Q21" s="33">
        <f>IFERROR(SUMIFS(Data!R$3:R$78,Data!$A$3:$A$78,$A21,Data!$B$3:$B$78,2023),"n/a")</f>
        <v>52847537600</v>
      </c>
      <c r="R21" s="36" t="s">
        <v>78</v>
      </c>
      <c r="S21" s="34">
        <f>IFERROR(SUMIFS(Data!T$3:T$78,Data!$A$3:$A$78,$A21,Data!$B$3:$B$78,2023),"n/a")</f>
        <v>3.34</v>
      </c>
      <c r="T21" s="33">
        <f>IFERROR(SUMIFS(Data!U$3:U$78,Data!$A$3:$A$78,$A21,Data!$B$3:$B$78,2023),"n/a")</f>
        <v>10476000000</v>
      </c>
      <c r="U21" s="35">
        <f>IFERROR(SUMIFS(Data!V$3:V$78,Data!$A$3:$A$78,$A21,Data!$B$3:$B$78,2023),"n/a")</f>
        <v>0.86</v>
      </c>
      <c r="V21" s="35">
        <f>IFERROR(SUMIFS(Data!W$3:W$78,Data!$A$3:$A$78,$A21,Data!$B$3:$B$78,2023),"n/a")</f>
        <v>1.52</v>
      </c>
      <c r="W21" s="35">
        <f>IFERROR(SUMIFS(Data!X$3:X$78,Data!$A$3:$A$78,$A21,Data!$B$3:$B$78,2023),"n/a")</f>
        <v>3509.17</v>
      </c>
      <c r="X21" s="31">
        <f>IFERROR(SUMIFS(Data!Y$3:Y$78,Data!$A$3:$A$78,$A21,Data!$B$3:$B$78,2023),"n/a")</f>
        <v>0.56000000000000005</v>
      </c>
      <c r="Y21" s="35">
        <f>IFERROR(SUMIFS(Data!Z$3:Z$78,Data!$A$3:$A$78,$A21,Data!$B$3:$B$78,2021),"n/a")</f>
        <v>0.03</v>
      </c>
    </row>
  </sheetData>
  <autoFilter ref="A2:Y21" xr:uid="{00000000-0009-0000-0000-000002000000}"/>
  <mergeCells count="5">
    <mergeCell ref="A1:A2"/>
    <mergeCell ref="B1:I1"/>
    <mergeCell ref="J1:Q1"/>
    <mergeCell ref="S1:T1"/>
    <mergeCell ref="U1:Y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Data</vt:lpstr>
      <vt:lpstr>2023 Latest 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 KB</cp:lastModifiedBy>
  <cp:revision>0</cp:revision>
  <dcterms:created xsi:type="dcterms:W3CDTF">2026-09-04T11:13:12Z</dcterms:created>
  <dcterms:modified xsi:type="dcterms:W3CDTF">2026-09-04T13:12:36Z</dcterms:modified>
  <dc:language>en-US</dc:language>
</cp:coreProperties>
</file>