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8EF87C1-5911-479C-B9DE-BFB0CC724DBB}" xr6:coauthVersionLast="47" xr6:coauthVersionMax="47" xr10:uidLastSave="{00000000-0000-0000-0000-000000000000}"/>
  <bookViews>
    <workbookView xWindow="-108" yWindow="-108" windowWidth="23256" windowHeight="12456" tabRatio="500" activeTab="2" xr2:uid="{00000000-000D-0000-FFFF-FFFF00000000}"/>
  </bookViews>
  <sheets>
    <sheet name="Overview" sheetId="1" r:id="rId1"/>
    <sheet name="Methodology" sheetId="2" r:id="rId2"/>
    <sheet name="Companies" sheetId="3" r:id="rId3"/>
    <sheet name="Infrastructure" sheetId="4" r:id="rId4"/>
  </sheets>
  <definedNames>
    <definedName name="_xlnm._FilterDatabase" localSheetId="2" hidden="1">Companies!$A$2:$S$111</definedName>
    <definedName name="_xlnm._FilterDatabase" localSheetId="3" hidden="1">Infrastructure!$A$2:$J$68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11" i="3" l="1"/>
  <c r="M111" i="3"/>
  <c r="L111" i="3"/>
  <c r="K111" i="3"/>
  <c r="O111" i="3" s="1"/>
  <c r="P111" i="3" s="1"/>
  <c r="N110" i="3"/>
  <c r="M110" i="3"/>
  <c r="L110" i="3"/>
  <c r="K110" i="3"/>
  <c r="O110" i="3" s="1"/>
  <c r="P110" i="3" s="1"/>
  <c r="N109" i="3"/>
  <c r="M109" i="3"/>
  <c r="L109" i="3"/>
  <c r="K109" i="3"/>
  <c r="O109" i="3" s="1"/>
  <c r="P109" i="3" s="1"/>
  <c r="O108" i="3"/>
  <c r="P108" i="3" s="1"/>
  <c r="N108" i="3"/>
  <c r="M108" i="3"/>
  <c r="L108" i="3"/>
  <c r="K108" i="3"/>
  <c r="O107" i="3"/>
  <c r="P107" i="3" s="1"/>
  <c r="N107" i="3"/>
  <c r="M107" i="3"/>
  <c r="L107" i="3"/>
  <c r="K107" i="3"/>
  <c r="N106" i="3"/>
  <c r="M106" i="3"/>
  <c r="L106" i="3"/>
  <c r="K106" i="3"/>
  <c r="O106" i="3" s="1"/>
  <c r="P106" i="3" s="1"/>
  <c r="N105" i="3"/>
  <c r="M105" i="3"/>
  <c r="L105" i="3"/>
  <c r="K105" i="3"/>
  <c r="O105" i="3" s="1"/>
  <c r="P105" i="3" s="1"/>
  <c r="N104" i="3"/>
  <c r="M104" i="3"/>
  <c r="L104" i="3"/>
  <c r="K104" i="3"/>
  <c r="O104" i="3" s="1"/>
  <c r="P104" i="3" s="1"/>
  <c r="O103" i="3"/>
  <c r="P103" i="3" s="1"/>
  <c r="N103" i="3"/>
  <c r="M103" i="3"/>
  <c r="L103" i="3"/>
  <c r="K103" i="3"/>
  <c r="N102" i="3"/>
  <c r="M102" i="3"/>
  <c r="L102" i="3"/>
  <c r="K102" i="3"/>
  <c r="O102" i="3" s="1"/>
  <c r="P102" i="3" s="1"/>
  <c r="N101" i="3"/>
  <c r="M101" i="3"/>
  <c r="L101" i="3"/>
  <c r="K101" i="3"/>
  <c r="O101" i="3" s="1"/>
  <c r="P101" i="3" s="1"/>
  <c r="N100" i="3"/>
  <c r="M100" i="3"/>
  <c r="L100" i="3"/>
  <c r="K100" i="3"/>
  <c r="O100" i="3" s="1"/>
  <c r="P100" i="3" s="1"/>
  <c r="O99" i="3"/>
  <c r="P99" i="3" s="1"/>
  <c r="N99" i="3"/>
  <c r="M99" i="3"/>
  <c r="L99" i="3"/>
  <c r="K99" i="3"/>
  <c r="N98" i="3"/>
  <c r="M98" i="3"/>
  <c r="L98" i="3"/>
  <c r="K98" i="3"/>
  <c r="O98" i="3" s="1"/>
  <c r="P98" i="3" s="1"/>
  <c r="N97" i="3"/>
  <c r="M97" i="3"/>
  <c r="L97" i="3"/>
  <c r="K97" i="3"/>
  <c r="O97" i="3" s="1"/>
  <c r="P97" i="3" s="1"/>
  <c r="N96" i="3"/>
  <c r="M96" i="3"/>
  <c r="L96" i="3"/>
  <c r="K96" i="3"/>
  <c r="O96" i="3" s="1"/>
  <c r="P96" i="3" s="1"/>
  <c r="O95" i="3"/>
  <c r="P95" i="3" s="1"/>
  <c r="N95" i="3"/>
  <c r="M95" i="3"/>
  <c r="L95" i="3"/>
  <c r="K95" i="3"/>
  <c r="N94" i="3"/>
  <c r="M94" i="3"/>
  <c r="L94" i="3"/>
  <c r="K94" i="3"/>
  <c r="O94" i="3" s="1"/>
  <c r="P94" i="3" s="1"/>
  <c r="N93" i="3"/>
  <c r="M93" i="3"/>
  <c r="L93" i="3"/>
  <c r="K93" i="3"/>
  <c r="O93" i="3" s="1"/>
  <c r="P93" i="3" s="1"/>
  <c r="N92" i="3"/>
  <c r="M92" i="3"/>
  <c r="L92" i="3"/>
  <c r="K92" i="3"/>
  <c r="O92" i="3" s="1"/>
  <c r="P92" i="3" s="1"/>
  <c r="O91" i="3"/>
  <c r="P91" i="3" s="1"/>
  <c r="N91" i="3"/>
  <c r="M91" i="3"/>
  <c r="L91" i="3"/>
  <c r="K91" i="3"/>
  <c r="N90" i="3"/>
  <c r="M90" i="3"/>
  <c r="L90" i="3"/>
  <c r="K90" i="3"/>
  <c r="O90" i="3" s="1"/>
  <c r="P90" i="3" s="1"/>
  <c r="N89" i="3"/>
  <c r="M89" i="3"/>
  <c r="L89" i="3"/>
  <c r="K89" i="3"/>
  <c r="O89" i="3" s="1"/>
  <c r="P89" i="3" s="1"/>
  <c r="N88" i="3"/>
  <c r="M88" i="3"/>
  <c r="L88" i="3"/>
  <c r="K88" i="3"/>
  <c r="O88" i="3" s="1"/>
  <c r="P88" i="3" s="1"/>
  <c r="O87" i="3"/>
  <c r="P87" i="3" s="1"/>
  <c r="N87" i="3"/>
  <c r="M87" i="3"/>
  <c r="L87" i="3"/>
  <c r="K87" i="3"/>
  <c r="N86" i="3"/>
  <c r="M86" i="3"/>
  <c r="L86" i="3"/>
  <c r="K86" i="3"/>
  <c r="O86" i="3" s="1"/>
  <c r="P86" i="3" s="1"/>
  <c r="N85" i="3"/>
  <c r="M85" i="3"/>
  <c r="L85" i="3"/>
  <c r="K85" i="3"/>
  <c r="O85" i="3" s="1"/>
  <c r="P85" i="3" s="1"/>
  <c r="N84" i="3"/>
  <c r="M84" i="3"/>
  <c r="L84" i="3"/>
  <c r="K84" i="3"/>
  <c r="O84" i="3" s="1"/>
  <c r="P84" i="3" s="1"/>
  <c r="O83" i="3"/>
  <c r="P83" i="3" s="1"/>
  <c r="N83" i="3"/>
  <c r="M83" i="3"/>
  <c r="L83" i="3"/>
  <c r="K83" i="3"/>
  <c r="N82" i="3"/>
  <c r="M82" i="3"/>
  <c r="L82" i="3"/>
  <c r="K82" i="3"/>
  <c r="O82" i="3" s="1"/>
  <c r="P82" i="3" s="1"/>
  <c r="N81" i="3"/>
  <c r="M81" i="3"/>
  <c r="L81" i="3"/>
  <c r="K81" i="3"/>
  <c r="O81" i="3" s="1"/>
  <c r="P81" i="3" s="1"/>
  <c r="N80" i="3"/>
  <c r="M80" i="3"/>
  <c r="L80" i="3"/>
  <c r="K80" i="3"/>
  <c r="O80" i="3" s="1"/>
  <c r="P80" i="3" s="1"/>
  <c r="O79" i="3"/>
  <c r="P79" i="3" s="1"/>
  <c r="N79" i="3"/>
  <c r="M79" i="3"/>
  <c r="L79" i="3"/>
  <c r="K79" i="3"/>
  <c r="N78" i="3"/>
  <c r="M78" i="3"/>
  <c r="L78" i="3"/>
  <c r="K78" i="3"/>
  <c r="O78" i="3" s="1"/>
  <c r="P78" i="3" s="1"/>
  <c r="N77" i="3"/>
  <c r="M77" i="3"/>
  <c r="L77" i="3"/>
  <c r="K77" i="3"/>
  <c r="O77" i="3" s="1"/>
  <c r="P77" i="3" s="1"/>
  <c r="N76" i="3"/>
  <c r="M76" i="3"/>
  <c r="L76" i="3"/>
  <c r="K76" i="3"/>
  <c r="O76" i="3" s="1"/>
  <c r="P76" i="3" s="1"/>
  <c r="O75" i="3"/>
  <c r="P75" i="3" s="1"/>
  <c r="N75" i="3"/>
  <c r="M75" i="3"/>
  <c r="L75" i="3"/>
  <c r="K75" i="3"/>
  <c r="N74" i="3"/>
  <c r="M74" i="3"/>
  <c r="L74" i="3"/>
  <c r="K74" i="3"/>
  <c r="O74" i="3" s="1"/>
  <c r="P74" i="3" s="1"/>
  <c r="N73" i="3"/>
  <c r="M73" i="3"/>
  <c r="L73" i="3"/>
  <c r="K73" i="3"/>
  <c r="O73" i="3" s="1"/>
  <c r="P73" i="3" s="1"/>
  <c r="N72" i="3"/>
  <c r="M72" i="3"/>
  <c r="L72" i="3"/>
  <c r="K72" i="3"/>
  <c r="O72" i="3" s="1"/>
  <c r="P72" i="3" s="1"/>
  <c r="O71" i="3"/>
  <c r="P71" i="3" s="1"/>
  <c r="N71" i="3"/>
  <c r="M71" i="3"/>
  <c r="L71" i="3"/>
  <c r="K71" i="3"/>
  <c r="N70" i="3"/>
  <c r="M70" i="3"/>
  <c r="L70" i="3"/>
  <c r="K70" i="3"/>
  <c r="O70" i="3" s="1"/>
  <c r="P70" i="3" s="1"/>
  <c r="N69" i="3"/>
  <c r="M69" i="3"/>
  <c r="L69" i="3"/>
  <c r="K69" i="3"/>
  <c r="O69" i="3" s="1"/>
  <c r="P69" i="3" s="1"/>
  <c r="N68" i="3"/>
  <c r="M68" i="3"/>
  <c r="L68" i="3"/>
  <c r="K68" i="3"/>
  <c r="O68" i="3" s="1"/>
  <c r="P68" i="3" s="1"/>
  <c r="O67" i="3"/>
  <c r="P67" i="3" s="1"/>
  <c r="N67" i="3"/>
  <c r="M67" i="3"/>
  <c r="L67" i="3"/>
  <c r="K67" i="3"/>
  <c r="N66" i="3"/>
  <c r="M66" i="3"/>
  <c r="L66" i="3"/>
  <c r="K66" i="3"/>
  <c r="O66" i="3" s="1"/>
  <c r="P66" i="3" s="1"/>
  <c r="N65" i="3"/>
  <c r="M65" i="3"/>
  <c r="L65" i="3"/>
  <c r="K65" i="3"/>
  <c r="O65" i="3" s="1"/>
  <c r="P65" i="3" s="1"/>
  <c r="N64" i="3"/>
  <c r="M64" i="3"/>
  <c r="L64" i="3"/>
  <c r="K64" i="3"/>
  <c r="O64" i="3" s="1"/>
  <c r="P64" i="3" s="1"/>
  <c r="O63" i="3"/>
  <c r="P63" i="3" s="1"/>
  <c r="N63" i="3"/>
  <c r="M63" i="3"/>
  <c r="L63" i="3"/>
  <c r="K63" i="3"/>
  <c r="N62" i="3"/>
  <c r="M62" i="3"/>
  <c r="L62" i="3"/>
  <c r="K62" i="3"/>
  <c r="O62" i="3" s="1"/>
  <c r="P62" i="3" s="1"/>
  <c r="N61" i="3"/>
  <c r="M61" i="3"/>
  <c r="L61" i="3"/>
  <c r="K61" i="3"/>
  <c r="O61" i="3" s="1"/>
  <c r="P61" i="3" s="1"/>
  <c r="N60" i="3"/>
  <c r="M60" i="3"/>
  <c r="L60" i="3"/>
  <c r="K60" i="3"/>
  <c r="O60" i="3" s="1"/>
  <c r="P60" i="3" s="1"/>
  <c r="O59" i="3"/>
  <c r="P59" i="3" s="1"/>
  <c r="N59" i="3"/>
  <c r="M59" i="3"/>
  <c r="L59" i="3"/>
  <c r="K59" i="3"/>
  <c r="N58" i="3"/>
  <c r="M58" i="3"/>
  <c r="L58" i="3"/>
  <c r="K58" i="3"/>
  <c r="O58" i="3" s="1"/>
  <c r="P58" i="3" s="1"/>
  <c r="N57" i="3"/>
  <c r="M57" i="3"/>
  <c r="L57" i="3"/>
  <c r="K57" i="3"/>
  <c r="O57" i="3" s="1"/>
  <c r="P57" i="3" s="1"/>
  <c r="N56" i="3"/>
  <c r="M56" i="3"/>
  <c r="L56" i="3"/>
  <c r="K56" i="3"/>
  <c r="O56" i="3" s="1"/>
  <c r="P56" i="3" s="1"/>
  <c r="O55" i="3"/>
  <c r="P55" i="3" s="1"/>
  <c r="N55" i="3"/>
  <c r="M55" i="3"/>
  <c r="L55" i="3"/>
  <c r="K55" i="3"/>
  <c r="N54" i="3"/>
  <c r="M54" i="3"/>
  <c r="L54" i="3"/>
  <c r="K54" i="3"/>
  <c r="O54" i="3" s="1"/>
  <c r="P54" i="3" s="1"/>
  <c r="N53" i="3"/>
  <c r="M53" i="3"/>
  <c r="L53" i="3"/>
  <c r="K53" i="3"/>
  <c r="O53" i="3" s="1"/>
  <c r="P53" i="3" s="1"/>
  <c r="N52" i="3"/>
  <c r="M52" i="3"/>
  <c r="L52" i="3"/>
  <c r="K52" i="3"/>
  <c r="O52" i="3" s="1"/>
  <c r="P52" i="3" s="1"/>
  <c r="O51" i="3"/>
  <c r="P51" i="3" s="1"/>
  <c r="N51" i="3"/>
  <c r="M51" i="3"/>
  <c r="L51" i="3"/>
  <c r="K51" i="3"/>
  <c r="N50" i="3"/>
  <c r="M50" i="3"/>
  <c r="L50" i="3"/>
  <c r="K50" i="3"/>
  <c r="O50" i="3" s="1"/>
  <c r="P50" i="3" s="1"/>
  <c r="N49" i="3"/>
  <c r="M49" i="3"/>
  <c r="L49" i="3"/>
  <c r="K49" i="3"/>
  <c r="O49" i="3" s="1"/>
  <c r="P49" i="3" s="1"/>
  <c r="N48" i="3"/>
  <c r="M48" i="3"/>
  <c r="L48" i="3"/>
  <c r="K48" i="3"/>
  <c r="O48" i="3" s="1"/>
  <c r="P48" i="3" s="1"/>
  <c r="O47" i="3"/>
  <c r="P47" i="3" s="1"/>
  <c r="N47" i="3"/>
  <c r="M47" i="3"/>
  <c r="L47" i="3"/>
  <c r="K47" i="3"/>
  <c r="N46" i="3"/>
  <c r="M46" i="3"/>
  <c r="L46" i="3"/>
  <c r="K46" i="3"/>
  <c r="O46" i="3" s="1"/>
  <c r="P46" i="3" s="1"/>
  <c r="N45" i="3"/>
  <c r="M45" i="3"/>
  <c r="L45" i="3"/>
  <c r="K45" i="3"/>
  <c r="O45" i="3" s="1"/>
  <c r="P45" i="3" s="1"/>
  <c r="N44" i="3"/>
  <c r="M44" i="3"/>
  <c r="L44" i="3"/>
  <c r="K44" i="3"/>
  <c r="O44" i="3" s="1"/>
  <c r="P44" i="3" s="1"/>
  <c r="O43" i="3"/>
  <c r="P43" i="3" s="1"/>
  <c r="N43" i="3"/>
  <c r="M43" i="3"/>
  <c r="L43" i="3"/>
  <c r="K43" i="3"/>
  <c r="N42" i="3"/>
  <c r="M42" i="3"/>
  <c r="L42" i="3"/>
  <c r="K42" i="3"/>
  <c r="O42" i="3" s="1"/>
  <c r="P42" i="3" s="1"/>
  <c r="N41" i="3"/>
  <c r="M41" i="3"/>
  <c r="L41" i="3"/>
  <c r="K41" i="3"/>
  <c r="O41" i="3" s="1"/>
  <c r="P41" i="3" s="1"/>
  <c r="N40" i="3"/>
  <c r="M40" i="3"/>
  <c r="L40" i="3"/>
  <c r="K40" i="3"/>
  <c r="O40" i="3" s="1"/>
  <c r="P40" i="3" s="1"/>
  <c r="O39" i="3"/>
  <c r="P39" i="3" s="1"/>
  <c r="N39" i="3"/>
  <c r="M39" i="3"/>
  <c r="L39" i="3"/>
  <c r="K39" i="3"/>
  <c r="N38" i="3"/>
  <c r="M38" i="3"/>
  <c r="L38" i="3"/>
  <c r="O38" i="3" s="1"/>
  <c r="P38" i="3" s="1"/>
  <c r="K38" i="3"/>
  <c r="N37" i="3"/>
  <c r="M37" i="3"/>
  <c r="L37" i="3"/>
  <c r="K37" i="3"/>
  <c r="O37" i="3" s="1"/>
  <c r="P37" i="3" s="1"/>
  <c r="N36" i="3"/>
  <c r="M36" i="3"/>
  <c r="L36" i="3"/>
  <c r="K36" i="3"/>
  <c r="O36" i="3" s="1"/>
  <c r="P36" i="3" s="1"/>
  <c r="O35" i="3"/>
  <c r="P35" i="3" s="1"/>
  <c r="N35" i="3"/>
  <c r="M35" i="3"/>
  <c r="L35" i="3"/>
  <c r="K35" i="3"/>
  <c r="N34" i="3"/>
  <c r="M34" i="3"/>
  <c r="L34" i="3"/>
  <c r="K34" i="3"/>
  <c r="O34" i="3" s="1"/>
  <c r="P34" i="3" s="1"/>
  <c r="N33" i="3"/>
  <c r="M33" i="3"/>
  <c r="L33" i="3"/>
  <c r="K33" i="3"/>
  <c r="O33" i="3" s="1"/>
  <c r="P33" i="3" s="1"/>
  <c r="N32" i="3"/>
  <c r="M32" i="3"/>
  <c r="L32" i="3"/>
  <c r="K32" i="3"/>
  <c r="O32" i="3" s="1"/>
  <c r="P32" i="3" s="1"/>
  <c r="O31" i="3"/>
  <c r="P31" i="3" s="1"/>
  <c r="N31" i="3"/>
  <c r="M31" i="3"/>
  <c r="L31" i="3"/>
  <c r="K31" i="3"/>
  <c r="N30" i="3"/>
  <c r="M30" i="3"/>
  <c r="L30" i="3"/>
  <c r="K30" i="3"/>
  <c r="O30" i="3" s="1"/>
  <c r="P30" i="3" s="1"/>
  <c r="N29" i="3"/>
  <c r="M29" i="3"/>
  <c r="L29" i="3"/>
  <c r="K29" i="3"/>
  <c r="O29" i="3" s="1"/>
  <c r="P29" i="3" s="1"/>
  <c r="N28" i="3"/>
  <c r="M28" i="3"/>
  <c r="L28" i="3"/>
  <c r="K28" i="3"/>
  <c r="O28" i="3" s="1"/>
  <c r="P28" i="3" s="1"/>
  <c r="O27" i="3"/>
  <c r="P27" i="3" s="1"/>
  <c r="N27" i="3"/>
  <c r="M27" i="3"/>
  <c r="L27" i="3"/>
  <c r="K27" i="3"/>
  <c r="N26" i="3"/>
  <c r="M26" i="3"/>
  <c r="L26" i="3"/>
  <c r="K26" i="3"/>
  <c r="O26" i="3" s="1"/>
  <c r="P26" i="3" s="1"/>
  <c r="N25" i="3"/>
  <c r="M25" i="3"/>
  <c r="L25" i="3"/>
  <c r="K25" i="3"/>
  <c r="O25" i="3" s="1"/>
  <c r="P25" i="3" s="1"/>
  <c r="N24" i="3"/>
  <c r="M24" i="3"/>
  <c r="L24" i="3"/>
  <c r="K24" i="3"/>
  <c r="O24" i="3" s="1"/>
  <c r="P24" i="3" s="1"/>
  <c r="O23" i="3"/>
  <c r="P23" i="3" s="1"/>
  <c r="N23" i="3"/>
  <c r="M23" i="3"/>
  <c r="L23" i="3"/>
  <c r="K23" i="3"/>
  <c r="N22" i="3"/>
  <c r="M22" i="3"/>
  <c r="L22" i="3"/>
  <c r="K22" i="3"/>
  <c r="O22" i="3" s="1"/>
  <c r="P22" i="3" s="1"/>
  <c r="N21" i="3"/>
  <c r="M21" i="3"/>
  <c r="L21" i="3"/>
  <c r="K21" i="3"/>
  <c r="O21" i="3" s="1"/>
  <c r="P21" i="3" s="1"/>
  <c r="N20" i="3"/>
  <c r="M20" i="3"/>
  <c r="L20" i="3"/>
  <c r="K20" i="3"/>
  <c r="O20" i="3" s="1"/>
  <c r="P20" i="3" s="1"/>
  <c r="O19" i="3"/>
  <c r="P19" i="3" s="1"/>
  <c r="N19" i="3"/>
  <c r="M19" i="3"/>
  <c r="L19" i="3"/>
  <c r="K19" i="3"/>
  <c r="N18" i="3"/>
  <c r="M18" i="3"/>
  <c r="L18" i="3"/>
  <c r="K18" i="3"/>
  <c r="O18" i="3" s="1"/>
  <c r="P18" i="3" s="1"/>
  <c r="N17" i="3"/>
  <c r="M17" i="3"/>
  <c r="L17" i="3"/>
  <c r="K17" i="3"/>
  <c r="O17" i="3" s="1"/>
  <c r="P17" i="3" s="1"/>
  <c r="N16" i="3"/>
  <c r="M16" i="3"/>
  <c r="L16" i="3"/>
  <c r="K16" i="3"/>
  <c r="O16" i="3" s="1"/>
  <c r="P16" i="3" s="1"/>
  <c r="O15" i="3"/>
  <c r="P15" i="3" s="1"/>
  <c r="N15" i="3"/>
  <c r="M15" i="3"/>
  <c r="L15" i="3"/>
  <c r="K15" i="3"/>
  <c r="N14" i="3"/>
  <c r="M14" i="3"/>
  <c r="L14" i="3"/>
  <c r="K14" i="3"/>
  <c r="O14" i="3" s="1"/>
  <c r="P14" i="3" s="1"/>
  <c r="N13" i="3"/>
  <c r="M13" i="3"/>
  <c r="L13" i="3"/>
  <c r="K13" i="3"/>
  <c r="O13" i="3" s="1"/>
  <c r="P13" i="3" s="1"/>
  <c r="N12" i="3"/>
  <c r="M12" i="3"/>
  <c r="L12" i="3"/>
  <c r="K12" i="3"/>
  <c r="O12" i="3" s="1"/>
  <c r="P12" i="3" s="1"/>
  <c r="N11" i="3"/>
  <c r="O11" i="3" s="1"/>
  <c r="P11" i="3" s="1"/>
  <c r="M11" i="3"/>
  <c r="L11" i="3"/>
  <c r="K11" i="3"/>
  <c r="N10" i="3"/>
  <c r="M10" i="3"/>
  <c r="L10" i="3"/>
  <c r="K10" i="3"/>
  <c r="O10" i="3" s="1"/>
  <c r="P10" i="3" s="1"/>
  <c r="N9" i="3"/>
  <c r="M9" i="3"/>
  <c r="L9" i="3"/>
  <c r="K9" i="3"/>
  <c r="O9" i="3" s="1"/>
  <c r="P9" i="3" s="1"/>
  <c r="N8" i="3"/>
  <c r="M8" i="3"/>
  <c r="L8" i="3"/>
  <c r="K8" i="3"/>
  <c r="O8" i="3" s="1"/>
  <c r="P8" i="3" s="1"/>
  <c r="N7" i="3"/>
  <c r="O7" i="3" s="1"/>
  <c r="P7" i="3" s="1"/>
  <c r="M7" i="3"/>
  <c r="L7" i="3"/>
  <c r="K7" i="3"/>
  <c r="N6" i="3"/>
  <c r="M6" i="3"/>
  <c r="L6" i="3"/>
  <c r="K6" i="3"/>
  <c r="O6" i="3" s="1"/>
  <c r="P6" i="3" s="1"/>
  <c r="N5" i="3"/>
  <c r="M5" i="3"/>
  <c r="L5" i="3"/>
  <c r="K5" i="3"/>
  <c r="O5" i="3" s="1"/>
  <c r="P5" i="3" s="1"/>
  <c r="N4" i="3"/>
  <c r="M4" i="3"/>
  <c r="L4" i="3"/>
  <c r="K4" i="3"/>
  <c r="O4" i="3" s="1"/>
  <c r="P4" i="3" s="1"/>
  <c r="N3" i="3"/>
  <c r="O3" i="3" s="1"/>
  <c r="P3" i="3" s="1"/>
  <c r="M3" i="3"/>
  <c r="L3" i="3"/>
  <c r="K3" i="3"/>
</calcChain>
</file>

<file path=xl/sharedStrings.xml><?xml version="1.0" encoding="utf-8"?>
<sst xmlns="http://schemas.openxmlformats.org/spreadsheetml/2006/main" count="1999" uniqueCount="1344">
  <si>
    <t>East, Central &amp; Southern Africa — Company Expansion &amp; Infrastructure Tracker</t>
  </si>
  <si>
    <t>Source: original web research (news, press releases, government/investment-authority sites), compiled September 2026 — this fills the FACT_COMPANY and FACT_INFRASTRUCTURE tables from your data model, which no ready-made government dataset covers the way UIS/WITS covers macro and trade indicators.</t>
  </si>
  <si>
    <t>Scope: all 19 countries in your data model's regional expansion — Kenya, Tanzania, Uganda, Rwanda, Ethiopia, Burundi, Comoros, Djibouti, DRC Congo, Eritrea, Madagascar, Malawi, Mauritius, Mozambique, Seychelles, Somalia, South Sudan, Zambia and Zimbabwe. Company entries are real, named companies with a documented, sourced expansion signal roughly 2019-2026 (older infrastructure projects are included where the signal is the most recent verifiable status update).</t>
  </si>
  <si>
    <t>How this workbook is organized</t>
  </si>
  <si>
    <t>Same structure as your other workbooks: one flat table per fact (Companies, Infrastructure), columns grouped and color-banded by theme, with a live-formula Opportunity Score on the Companies sheet. See the Methodology sheet for exactly how that score is built — it is fully transparent and recalculates if you edit the underlying data.</t>
  </si>
  <si>
    <t>Sheet</t>
  </si>
  <si>
    <t>Contents</t>
  </si>
  <si>
    <t>Methodology</t>
  </si>
  <si>
    <t>The Opportunity Score rubric — every scoring band spelled out, editable, and referenced live by formulas on the Companies sheet.</t>
  </si>
  <si>
    <t>Companies</t>
  </si>
  <si>
    <t>109 real, sourced companies with a recent East Africa expansion signal — this is FACT_COMPANY.</t>
  </si>
  <si>
    <t>Infrastructure</t>
  </si>
  <si>
    <t>66 real, sourced SEZs, industrial parks, ports, logistics hubs and data centres — this is FACT_INFRASTRUCTURE.</t>
  </si>
  <si>
    <t>Coverage by country</t>
  </si>
  <si>
    <t>Country</t>
  </si>
  <si>
    <t>Companies / Infrastructure projects found</t>
  </si>
  <si>
    <t>Burundi</t>
  </si>
  <si>
    <t>2 companies, 1 infrastructure projects</t>
  </si>
  <si>
    <t>Comoros</t>
  </si>
  <si>
    <t>2 companies, 2 infrastructure projects</t>
  </si>
  <si>
    <t>Djibouti</t>
  </si>
  <si>
    <t>4 companies, 3 infrastructure projects</t>
  </si>
  <si>
    <t>DRC Congo</t>
  </si>
  <si>
    <t>4 companies, 2 infrastructure projects</t>
  </si>
  <si>
    <t>Eritrea</t>
  </si>
  <si>
    <t>1 companies, 1 infrastructure projects</t>
  </si>
  <si>
    <t>Ethiopia</t>
  </si>
  <si>
    <t>12 companies, 7 infrastructure projects</t>
  </si>
  <si>
    <t>Kenya</t>
  </si>
  <si>
    <t>14 companies, 9 infrastructure projects</t>
  </si>
  <si>
    <t>Madagascar</t>
  </si>
  <si>
    <t>3 companies, 2 infrastructure projects</t>
  </si>
  <si>
    <t>Malawi</t>
  </si>
  <si>
    <t>Mauritius</t>
  </si>
  <si>
    <t>Mozambique</t>
  </si>
  <si>
    <t>Rwanda</t>
  </si>
  <si>
    <t>13 companies, 6 infrastructure projects</t>
  </si>
  <si>
    <t>Seychelles</t>
  </si>
  <si>
    <t>3 companies, 1 infrastructure projects</t>
  </si>
  <si>
    <t>Somalia</t>
  </si>
  <si>
    <t>3 companies, 3 infrastructure projects</t>
  </si>
  <si>
    <t>South Sudan</t>
  </si>
  <si>
    <t>Tanzania</t>
  </si>
  <si>
    <t>12 companies, 8 infrastructure projects</t>
  </si>
  <si>
    <t>Uganda</t>
  </si>
  <si>
    <t>12 companies, 6 infrastructure projects</t>
  </si>
  <si>
    <t>Zambia</t>
  </si>
  <si>
    <t>5 companies, 3 infrastructure projects</t>
  </si>
  <si>
    <t>Zimbabwe</t>
  </si>
  <si>
    <t>Data notes</t>
  </si>
  <si>
    <t>• This data does not come from a single published dataset (unlike the UIS/WITS-based workbooks) — it was compiled entry-by-entry from live web research. Every row carries its own source title, URL and publication date; open the link before relying on a figure for a decision.</t>
  </si>
  <si>
    <t>• "Investment Est. (US$ Million)" on the Companies sheet is the compiler's best-effort numeric read of the "Investment (as disclosed)" text in the same row — ranges use the midpoint, EUR figures are converted at roughly 1.08 USD/EUR, and an "up to $X" or "initial $X (potential up to $Y)" figure uses the stated $X. Where nothing was publicly disclosed, both the text and the number are marked accordingly and the row still scores (see Methodology) rather than being dropped.</t>
  </si>
  <si>
    <t>• A company or project with no strong, sourced, recent signal in a given industry/country/type combination was left out rather than padded with a weak or stale example — so an empty combination usually means "not found", not "doesn't exist".</t>
  </si>
  <si>
    <t>• UAE-linked entities (DP World, Gulftainer, Majid Al Futtaim, G42) recur across several countries — this matches the DIM_COUNTRY inclusion of UAE as a major investor into East Africa rather than as a fifth target market for this table.</t>
  </si>
  <si>
    <t>• The Kenya Gross County Product workbook (separate file) is Kenya-only, sub-national GDP data — it does not overlap with or substitute for this company/infrastructure research.</t>
  </si>
  <si>
    <t>• Recency Score bands were set to a 2020-2023 window at your request. Because almost every signal in this workbook is actually dated 2023-2026, nearly all rows now score the maximum 25 points here — this sub-score currently does not differentiate rows the way Investment, Facility Type and Infrastructure Synergy do. Say the word if you'd like it rebased to the years the data actually spans.</t>
  </si>
  <si>
    <t>• Megabrand de-emphasis: at your request, several rows that previously led with a globally-famous parent brand now lead with the real, less-famous entity actually operating on the ground — e.g. Kenya's Coca-Cola row now profiles Amsons Group's Bamburi Cement acquisition, Oracle's row now profiles Huawei's Konza Technopolis cloud data centre, Volkswagen's Kenya row now leads with local assembler Kenya Vehicle Manufacturers (KVM), and Ethiopia's Heineken/Carrefour/Mastercard rows now lead with their actual local operating partners (Komari Beverage, Queens Supermarket, EagleLion/StarPay) rather than the multinational name. Seven of the fourteen megabrand rows you flagged were swapped or relabeled this way, backed by the same sourcing standard as the rest of the sheet; the remaining seven (Microsoft, AWS and Majid Al Futtaim in Kenya; Volkswagen and BioNTech in Rwanda; Vodacom in Tanzania; MTN in Uganda) are left as the original global entity because no equally well-sourced regional alternative could be verified this session — a research-tool budget limit was hit partway through. These are flagged for a follow-up pass rather than guessed at.</t>
  </si>
  <si>
    <t>Opportunity Score Methodology</t>
  </si>
  <si>
    <t>Opportunity Score (0-100) is a transparent, additive index built entirely from data already on the Companies sheet, computed live by formula — it recalculates automatically if you edit the underlying rows or the point bands below. It combines four signals: how large the disclosed investment is, how recent the signal is, how durable the facility type is (a plant or data centre implies more committed presence than a single retail store), and whether the country already has a strong infrastructure ecosystem (SEZs, parks, ports, data centres) to support it. It is a starting filter for prioritizing outreach, not a definitive ranking — adjust the bands below to match your own judgment.</t>
  </si>
  <si>
    <t>1. Investment Score (max 40 pts) — from Investment Est. (US$ Million)</t>
  </si>
  <si>
    <t>Band</t>
  </si>
  <si>
    <t>Points</t>
  </si>
  <si>
    <t>&gt;= $100 million</t>
  </si>
  <si>
    <t>$20M to &lt;$100M</t>
  </si>
  <si>
    <t>$5M to &lt;$20M</t>
  </si>
  <si>
    <t>$1M to &lt;$5M</t>
  </si>
  <si>
    <t>&gt; $0 to &lt;$1M</t>
  </si>
  <si>
    <t>Not disclosed</t>
  </si>
  <si>
    <t>2. Recency Score (max 25 pts) — from Signal Year</t>
  </si>
  <si>
    <t>2023 or later</t>
  </si>
  <si>
    <t>2022</t>
  </si>
  <si>
    <t>2021</t>
  </si>
  <si>
    <t>2020</t>
  </si>
  <si>
    <t>Before 2020 / unclear</t>
  </si>
  <si>
    <t>3. Facility Type Score (max 20 pts) — from Facility Type</t>
  </si>
  <si>
    <t>Facility Type</t>
  </si>
  <si>
    <t>Manufacturing Plant</t>
  </si>
  <si>
    <t>Data Centre</t>
  </si>
  <si>
    <t>Hospital/Pharma Plant</t>
  </si>
  <si>
    <t>Construction Project</t>
  </si>
  <si>
    <t>Distribution Center</t>
  </si>
  <si>
    <t>R&amp;D Centre</t>
  </si>
  <si>
    <t>Regional HQ / Network Infrastructure</t>
  </si>
  <si>
    <t>Regional HQ</t>
  </si>
  <si>
    <t>Retail Store/Mall</t>
  </si>
  <si>
    <t>(any other / unlisted)</t>
  </si>
  <si>
    <t>4. Infrastructure Synergy Score (max 15 pts) — from count of Infrastructure-sheet projects in the same country</t>
  </si>
  <si>
    <t>4 or more infrastructure projects in that country</t>
  </si>
  <si>
    <t>2-3 infrastructure projects in that country</t>
  </si>
  <si>
    <t>1 infrastructure project in that country</t>
  </si>
  <si>
    <t>0 infrastructure projects in that country</t>
  </si>
  <si>
    <t>Opportunity Tier (from total Opportunity Score)</t>
  </si>
  <si>
    <t>&gt;= 70</t>
  </si>
  <si>
    <t>High</t>
  </si>
  <si>
    <t>50-69</t>
  </si>
  <si>
    <t>Medium</t>
  </si>
  <si>
    <t>&lt; 50</t>
  </si>
  <si>
    <t>Watch</t>
  </si>
  <si>
    <t>Company Profile</t>
  </si>
  <si>
    <t>Expansion Signal</t>
  </si>
  <si>
    <t>Opportunity Scoring</t>
  </si>
  <si>
    <t>Source</t>
  </si>
  <si>
    <t>Company</t>
  </si>
  <si>
    <t>Industry</t>
  </si>
  <si>
    <t>HQ</t>
  </si>
  <si>
    <t>East Africa Presence</t>
  </si>
  <si>
    <t>Signal Year</t>
  </si>
  <si>
    <t>Investment (as disclosed)</t>
  </si>
  <si>
    <t>Investment Est. (US$ Million)</t>
  </si>
  <si>
    <t>Investment Score</t>
  </si>
  <si>
    <t>Recency Score</t>
  </si>
  <si>
    <t>Facility Type Score</t>
  </si>
  <si>
    <t>Infrastructure Synergy Score</t>
  </si>
  <si>
    <t>Opportunity Score</t>
  </si>
  <si>
    <t>Opportunity Tier</t>
  </si>
  <si>
    <t>Source Title</t>
  </si>
  <si>
    <t>Source URL</t>
  </si>
  <si>
    <t>Source Date</t>
  </si>
  <si>
    <t>SOSUMO (Société Sucrière du Moso)</t>
  </si>
  <si>
    <t>Manufacturing</t>
  </si>
  <si>
    <t>Bujumbura, Burundi (state-owned)</t>
  </si>
  <si>
    <t>SOSUMO operates Burundi's only sugar factory and sugarcane plantations in the Moso region, supplying the domestic sugar market.</t>
  </si>
  <si>
    <t>Burundi's Council of Ministers reviewed and endorsed progress on SOSUMO's rehabilitation, modernization and extension project (roadmap approved June 9, 2021), aimed at expanding milling capacity contingent on securing sugarcane supply.</t>
  </si>
  <si>
    <t>105,993,995,058 BIF (~US$53M at 2021 rates)</t>
  </si>
  <si>
    <t>The SOSUMO rehabilitation, modernization and extension project is reaching a satisfactory stage</t>
  </si>
  <si>
    <t>https://english.abpinfo.bi/2021/06/12/the-sosumo-rehabilitation-modernization-and-extension-project-is-reaching-a-satisfactory-stage/</t>
  </si>
  <si>
    <t>2021-06-12</t>
  </si>
  <si>
    <t>Lumitel (Viettel Burundi S.A.)</t>
  </si>
  <si>
    <t>Technology</t>
  </si>
  <si>
    <t>Hanoi, Vietnam (Viettel Group)</t>
  </si>
  <si>
    <t>Lumitel is Burundi's leading mobile operator, a subsidiary of Vietnam's Viettel Group operating 2G/3G/4G mobile, fixed and mobile-money services nationwide since 2015.</t>
  </si>
  <si>
    <t>Lumitel and the World Bank/PAFEN signed a $10M+ public-private broadband expansion contract (Lumitel contributing $5.62M, World Bank $4.37M) to bring high-speed internet to 86 hills across 14 provinces, launched March 2, 2026; this follows an earlier announced plan to invest $20M to extend 4G coverage to 75% of the population by 2030.</t>
  </si>
  <si>
    <t>$10M+ (World Bank $4.37M + Lumitel $5.62M) for the 2026 broadband project; separately, $20M announced for 4G expansion through 2030</t>
  </si>
  <si>
    <t>Lumitel Burundi Launches $10M High-Speed Internet Project Across the Country</t>
  </si>
  <si>
    <t>https://techafricanews.com/2026/03/04/lumitel-burundi-launches-10m-high-speed-internet-project-across-the-country/</t>
  </si>
  <si>
    <t>2026-03-04</t>
  </si>
  <si>
    <t>AD Ports Group (via Serdal International joint venture)</t>
  </si>
  <si>
    <t>Logistics</t>
  </si>
  <si>
    <t>Abu Dhabi, United Arab Emirates</t>
  </si>
  <si>
    <t>AD Ports Group entered Comoros through Serdal International, a joint venture with Abu Dhabi-based Resources Investment, to operate maritime trade and passenger/vehicle ferry services between the islands.</t>
  </si>
  <si>
    <t>Serdal International launched a new passenger-and-vehicle ferry service (vessel 'Yameela', 190 passengers/45 vehicles) connecting Moroni (Grande Comore) and Mutsamudu (Anjouan) on September 12, 2025, in a ceremony attended by the Comorian President.</t>
  </si>
  <si>
    <t>Serdal International Launches New Passenger and Auto Ferry Service in The Comoros</t>
  </si>
  <si>
    <t>https://www.adportsgroup.com/en/news-and-media/2025/09/12/serdal-international-launches-new-passenger-and-auto-ferry-service-in-the-comoros</t>
  </si>
  <si>
    <t>2025-09-12</t>
  </si>
  <si>
    <t>Axian Telecom (Yas Comoros / Telecom Comores SA)</t>
  </si>
  <si>
    <t>Antananarivo, Madagascar</t>
  </si>
  <si>
    <t>Axian Telecom, via its Comoros subsidiary Telecom Comores SA (branded Yas Comoros), is the country's second mobile network operator, providing mobile, fixed broadband and mobile-money services across the archipelago.</t>
  </si>
  <si>
    <t>IFC approved (Dec 17, 2024) and signed (May 30, 2025) a senior secured loan of up to €25M (~US$27M) to Telecom Comores SA to fund capital expenditure and a 2024-2026 mobile network expansion program, including 5G and fibre-to-the-home/office rollout, disbursed October 10, 2025.</t>
  </si>
  <si>
    <t>Up to €25 million (~US$27 million)</t>
  </si>
  <si>
    <t>49849 - Axian Comoros II &amp; Tanzania</t>
  </si>
  <si>
    <t>https://disclosures.ifc.org/project-detail/ESRS/49849/axian-comoros-ii-tanzania</t>
  </si>
  <si>
    <t>2025-10-10</t>
  </si>
  <si>
    <t>Golden Africa Djibouti (HSA Group / Pacific Inter-Link)</t>
  </si>
  <si>
    <t>Sana'a, Yemen (HSA Group)</t>
  </si>
  <si>
    <t>Golden Africa operates an edible-oil refining and packing complex next to Doraleh port, exporting palm and sunflower oil products to Ethiopia, Somalia, Yemen and beyond.</t>
  </si>
  <si>
    <t>Following its ~$30M initial investment, the company announced a further $5 million investment in new machinery to raise monthly processing capacity, alongside plans for a soap manufacturing facility.</t>
  </si>
  <si>
    <t>$5 million (capacity-expansion phase); $30 million (original facility)</t>
  </si>
  <si>
    <t>Palm oil: Golden Africa thinks big in East Africa</t>
  </si>
  <si>
    <t>https://www.theafricareport.com/22460/palm-oil-golden-africa-thinks-big-in-east-africa/</t>
  </si>
  <si>
    <t>2019</t>
  </si>
  <si>
    <t>Saudi Ajyal Petroleum and Energy Company</t>
  </si>
  <si>
    <t>Saudi Arabia</t>
  </si>
  <si>
    <t>Saudi Ajyal is developing a large-scale oil refinery in the Djibouti Damerjog International Park (DDIP), positioned to serve regional Horn of Africa fuel demand.</t>
  </si>
  <si>
    <t>Cornerstone for a 300,000 barrels-per-day refinery on 300 hectares in DDIP was laid in June 2024, expected to create roughly 10,000 direct jobs.</t>
  </si>
  <si>
    <t>$12.7 billion</t>
  </si>
  <si>
    <t>Saudi Arabia expands footprint in Djibouti with major investment projects</t>
  </si>
  <si>
    <t>https://capitalethiopia.com/2024/07/01/saudi-arabia-expands-footprint-in-djibouti-with-major-investment-projects/</t>
  </si>
  <si>
    <t>2024-07-01</t>
  </si>
  <si>
    <t>China Merchants Port Holdings Company Limited</t>
  </si>
  <si>
    <t>Hong Kong / Shenzhen, China</t>
  </si>
  <si>
    <t>China Merchants holds a 23.5% stake in the Port of Djibouti and is a key investor/co-developer in the Djibouti International Free Trade Zone (DIFTZ).</t>
  </si>
  <si>
    <t>China Merchants signed a deal on January 8, 2021 to fund a $3 billion expansion of Djibouti City port and DIFTZ, building on an initial $513 million phase that began October 8, 2020.</t>
  </si>
  <si>
    <t>$3 billion (expansion agreement); $513 million (initial phase)</t>
  </si>
  <si>
    <t>China Merchants signs deal for $3bn expansion of Djibouti City port</t>
  </si>
  <si>
    <t>https://www.globalconstructionreview.com/china-merchants-signs-deal-3bn-expansion-djibouti/</t>
  </si>
  <si>
    <t>2021-01-08</t>
  </si>
  <si>
    <t>PAIX Data Centres</t>
  </si>
  <si>
    <t>Netherlands</t>
  </si>
  <si>
    <t>PAIX is entering Djibouti to build a cloud- and carrier-neutral data centre leveraging Djibouti's position as a landing point for roughly ten undersea cables.</t>
  </si>
  <si>
    <t>PAIX signed a joint-venture/MOU with the Djibouti Sovereign Wealth Fund (announced May 16, 2024) to build a ~50,000 sq ft, up to 5MW data centre, with the first phase expected to open in 2026.</t>
  </si>
  <si>
    <t>$50 million</t>
  </si>
  <si>
    <t>PAIX to Construct Carrier-neutral Data Center in Djibouti</t>
  </si>
  <si>
    <t>https://www.submarinenetworks.com/en/stations/africa/djibouti/paix-to-construct-carrier-neutral-data-center-in-djibouti</t>
  </si>
  <si>
    <t>2024-05-16</t>
  </si>
  <si>
    <t>CIMKO (Cimenterie Kongo)</t>
  </si>
  <si>
    <t>Songololo, Kongo-Central, DRC</t>
  </si>
  <si>
    <t>CIMKO operates DRC's largest integrated cement plant at Songololo, Kongo-Central, supplying the Kinshasa/western DRC market since 2018.</t>
  </si>
  <si>
    <t>CIMKO announced a $300m+ investment to double annual cement capacity from 1.4Mt to 3Mt by 2027, announced 5 December 2025.</t>
  </si>
  <si>
    <t>More than US$300 million</t>
  </si>
  <si>
    <t>CIMKO to invest US$300m to double DRC cement capacity by 2027</t>
  </si>
  <si>
    <t>https://www.cemnet.com/News/story/180401/cimko-to-invest-us-300m-to-double-drc-cement-capacity-by-2027.html</t>
  </si>
  <si>
    <t>2025-12-05</t>
  </si>
  <si>
    <t>Africa Global Logistics (MSC Group)</t>
  </si>
  <si>
    <t>Geneva, Switzerland</t>
  </si>
  <si>
    <t>Following MSC's acquisition of Bolloré Africa Logistics, Africa Global Logistics operates freight-forwarding, dry-port and transport logistics infrastructure in DRC.</t>
  </si>
  <si>
    <t>MSC completed its $6.1 billion acquisition of Bolloré Africa Logistics, covering its DRC logistics operations, on 21 December 2022.</t>
  </si>
  <si>
    <t>US$6.1 billion (pan-African acquisition, not DRC-specific)</t>
  </si>
  <si>
    <t>MSC Completes Acquisition of Bolloré Africa Logistics</t>
  </si>
  <si>
    <t>https://maritime-executive.com/article/msc-completes-acquisition-of-bollore-africa-logistics</t>
  </si>
  <si>
    <t>2022-12-21</t>
  </si>
  <si>
    <t>Carrefour (via franchise partner Hyper Psaro)</t>
  </si>
  <si>
    <t>Retail</t>
  </si>
  <si>
    <t>Massy, France</t>
  </si>
  <si>
    <t>Carrefour entered the DRC market via a franchise partnership with Hyper Psaro, opening its first hypermarket in Kinshasa.</t>
  </si>
  <si>
    <t>Carrefour opened its first DRC hypermarket in Kinshasa, reported in coverage published 11 August 2025.</t>
  </si>
  <si>
    <t>First Carrefour supermarket opens in Democratic Republic of Congo</t>
  </si>
  <si>
    <t>https://africanmarketingconfederation.org/first-carrefour-supermarket-opens-in-democratic-republic-of-congo/</t>
  </si>
  <si>
    <t>Vodacom Congo (with Orange DRC)</t>
  </si>
  <si>
    <t>Johannesburg, South Africa</t>
  </si>
  <si>
    <t>Vodacom and Orange are DRC's two largest mobile operators; together they formed a new rural towerco joint venture.</t>
  </si>
  <si>
    <t>Vodacom and Orange announced (14 January 2025) a joint venture to build up to 2,000 solar-powered base stations over six years to extend coverage to ~19 million people in rural DRC.</t>
  </si>
  <si>
    <t>Orange and Vodacom create a joint venture to expand network coverage in rural areas in the DRC</t>
  </si>
  <si>
    <t>https://www.vodacom.com/news-article.php?articleID=15301</t>
  </si>
  <si>
    <t>Sichuan Road and Bridge Group</t>
  </si>
  <si>
    <t>Construction</t>
  </si>
  <si>
    <t>Chengdu, Sichuan, China</t>
  </si>
  <si>
    <t>Sichuan Road and Bridge Group acquired Australian miner Danakali's 50% stake in the Colluli potash project in Eritrea.</t>
  </si>
  <si>
    <t>Sichuan Road and Bridge Group completed its purchase of Danakali's 50% Colluli potash project stake, with a first $105 million instalment paid by 31 March 2023.</t>
  </si>
  <si>
    <t>US$105 million (first instalment) plus a further US$16 million tranche</t>
  </si>
  <si>
    <t>Danakali sells stake in flagship Colluli potash project in Eritrea</t>
  </si>
  <si>
    <t>https://www.mining.com/danakali-sells-stake-in-flagship-colluli-potash-project-in-eritrea/</t>
  </si>
  <si>
    <t>2023-03-31</t>
  </si>
  <si>
    <t>Dangote Group</t>
  </si>
  <si>
    <t>Lagos, Nigeria</t>
  </si>
  <si>
    <t>Dangote has operated a cement plant in Mugher, Ethiopia since 2015 and has now signed a joint venture with Ethiopian Investment Holdings to build one of the world's largest fertiliser plants in Gode.</t>
  </si>
  <si>
    <t>Signed a JV (Dangote 60% / Ethiopian Investment Holdings 40%) to build a $2.5B fertiliser plant in Gode, southeast Ethiopia, targeting ~3 million tonnes/year production; signed August 29, 2025.</t>
  </si>
  <si>
    <t>$2.5 billion</t>
  </si>
  <si>
    <t>Nigeria: Dangote Group, Ethiopia Sign Deal to Build $2.5bn Fertiliser Plant</t>
  </si>
  <si>
    <t>https://allafrica.com/stories/202508290063.html</t>
  </si>
  <si>
    <t>Komari Beverage (Arada) — acquired by Heineken N.V.</t>
  </si>
  <si>
    <t>Amhara Region, Ethiopia (parent: Heineken N.V., Amsterdam, Netherlands)</t>
  </si>
  <si>
    <t>Heineken has operated breweries in Ethiopia since 2011 (Kilinto, Harar, Bedele) as part of a EUR310M+ cumulative investment, and diversified via acquisition into the local spirits/hard-seltzer category.</t>
  </si>
  <si>
    <t>Acquired ownership of the Arada hard-seltzer brand from Ethiopian producer Komari Beverage (which built a $29M+ factory in Amhara region); deal concluded mid-October 2024.</t>
  </si>
  <si>
    <t>Heineken acquires Komari Beverage</t>
  </si>
  <si>
    <t>https://capitalethiopia.com/2024/10/14/heineken-acquires-komari-beverage/</t>
  </si>
  <si>
    <t>October 14, 2024</t>
  </si>
  <si>
    <t>TOYO Co., Ltd (TOYO Solar)</t>
  </si>
  <si>
    <t>Tokyo, Japan (with production also in Vietnam)</t>
  </si>
  <si>
    <t>Built its first East African manufacturing base inside Hawassa's special economic zone, using Ethiopia's largely hydropower-based grid to supply its US solar module plant.</t>
  </si>
  <si>
    <t>Began commercial production at its 2GW (expanding to 4GW) TOPCon solar cell plant in Hawassa; production start April 2025.</t>
  </si>
  <si>
    <t>$60 million (initial phase)</t>
  </si>
  <si>
    <t>Japan's Toyo begins production at 2 GW solar cell plant in Ethiopia</t>
  </si>
  <si>
    <t>https://www.pv-magazine.com/2025/04/23/japans-toyo-begins-production-at-2-gw-solar-cell-plant-in-ethiopia/</t>
  </si>
  <si>
    <t>DHL Group</t>
  </si>
  <si>
    <t>Bonn, Germany</t>
  </si>
  <si>
    <t>DHL Express operates in Ethiopia and was explicitly named alongside Nigeria as a priority market for gateway and aviation-capacity upgrades under DHL's new Africa investment plan.</t>
  </si>
  <si>
    <t>Announced EUR300M+ investment across sub-Saharan Africa, citing recent growth in Ethiopia and Nigeria and plans to upgrade gateways, add aviation uplift, and expand into second-tier cities; announced October 15, 2025.</t>
  </si>
  <si>
    <t>EUR300 million+ (regional; Ethiopia-specific allocation not disclosed)</t>
  </si>
  <si>
    <t>DHL Group commits more than EUR300 million to accelerate trade growth across Africa</t>
  </si>
  <si>
    <t>https://group.dhl.com/en/media-relations/press-releases/2025/dhl-group-commits-more-than-300-million-to-accelerate-trade-growth-across-africa.html</t>
  </si>
  <si>
    <t>Ethiopian Airlines Group</t>
  </si>
  <si>
    <t>Addis Ababa, Ethiopia</t>
  </si>
  <si>
    <t>Africa's largest airline/cargo group, operating from its Bole hub with a continent-wide freight network.</t>
  </si>
  <si>
    <t>Opened a new $55M e-commerce/cargo sorting hub at Bole International Airport built to serve Alibaba and Shein, with 150,000-tonne annual capacity; inaugurated February 29, 2024.</t>
  </si>
  <si>
    <t>$55 million</t>
  </si>
  <si>
    <t>Ethiopian Airlines Opens $55 Million Cargo Center At Addis Ababa Airport</t>
  </si>
  <si>
    <t>https://simpleflying.com/ethiopian-airlines-55-million-cargo-center-addis-ababa-airport/</t>
  </si>
  <si>
    <t>February 2024</t>
  </si>
  <si>
    <t>Queens Supermarket PLC (Midroc Investment Group) — Carrefour franchise partner</t>
  </si>
  <si>
    <t>Addis Ababa, Ethiopia (franchise partner of Carrefour Group, Massy, France)</t>
  </si>
  <si>
    <t>New market entrant; franchise agreement with Queens Supermarket PLC (a Midroc Investment Group subsidiary) will rebrand Queens' 13 existing stores and add new locations.</t>
  </si>
  <si>
    <t>Signed a franchise deal with Queens Supermarket/Midroc to enter Ethiopia - first Carrefour-branded stores from Q1 2026, with 17 additional stores planned by 2028; announced January 2026, following Ethiopia's opening of retail to foreign investment.</t>
  </si>
  <si>
    <t>Carrefour's entry marks a new era for foreign investment in the retail sector</t>
  </si>
  <si>
    <t>https://capitalethiopia.com/2026/01/11/carrefours-entry-marks-a-new-era-for-foreign-investment-in-the-retail-sector/</t>
  </si>
  <si>
    <t>January 11, 2026</t>
  </si>
  <si>
    <t>Roha Group (Roha Medical Campus)</t>
  </si>
  <si>
    <t>Pharma</t>
  </si>
  <si>
    <t>United States</t>
  </si>
  <si>
    <t>Building Ethiopia's first JCI-accredited, 350-bed multispecialty hospital in Addis Ababa, positioned as the anchor of a planned African medical-tourism hub.</t>
  </si>
  <si>
    <t>Received first $42M equity tranche (of a $130M Phase 1) to fund construction of Roha Medical Campus hospital near Bole International Airport; announced February 22, 2024.</t>
  </si>
  <si>
    <t>$42 million (initial tranche; $130M Phase 1 total)</t>
  </si>
  <si>
    <t>Roha Medical Campus, a World-Class Hospital in Ethiopia, Gets $42 Million First Injection</t>
  </si>
  <si>
    <t>https://www.businesswire.com/news/home/20240222253596/en/Roha-Medical-Campus-a-World-Class-Hospital-in-Ethiopia-Gets-$42-Million-First-Injection</t>
  </si>
  <si>
    <t>February 22, 2024</t>
  </si>
  <si>
    <t>TechInvention Lifecare</t>
  </si>
  <si>
    <t>Mumbai, India</t>
  </si>
  <si>
    <t>New advisory partnership with Ethiopia's Ministry of Health to design the country's first local vaccine-manufacturing facility.</t>
  </si>
  <si>
    <t>Signed agreement with Ethiopia's Ministry of Health for feasibility studies, facility design, and technology-transfer support for a national vaccine plant; signed January 7, 2025, Addis Ababa.</t>
  </si>
  <si>
    <t>TechInvention Joins Hands with Ethiopia to Boost Vaccine Manufacturing and Pandemic Preparedness</t>
  </si>
  <si>
    <t>https://ehealth.eletsonline.com/2025/01/techinvention-joins-hands-with-ethiopia-to-boost-vaccine-manufacturing-and-pandemic-preparedness/</t>
  </si>
  <si>
    <t>EagleLion System Technology (StarPay Financial Services / Choice Microfinance) — Mastercard partner</t>
  </si>
  <si>
    <t>Addis Ababa, Ethiopia (partner network for Mastercard, Purchase, New York, USA)</t>
  </si>
  <si>
    <t>Expanding Ethiopian payments footprint through local fintech partnerships as the country's digital-payments market opens up.</t>
  </si>
  <si>
    <t>Signed dual strategic partnerships with StarPay Financial Services (reseller/distributor of Mastercard products) and Choice Microfinance (digital credit for underserved segments), both EagleLion subsidiaries; announced April 11, 2026.</t>
  </si>
  <si>
    <t>Mastercard expands footprint through dual strategic partnerships</t>
  </si>
  <si>
    <t>https://capitalethiopia.com/2026/04/11/mastercard-expands-footprint-through-dual-strategic-partnerships/</t>
  </si>
  <si>
    <t>Raxio Group</t>
  </si>
  <si>
    <t>Kampala, Uganda</t>
  </si>
  <si>
    <t>Pan-African data centre operator (Uganda, DRC, Mozambique, Cote d'Ivoire) that entered Ethiopia with its flagship East African facility.</t>
  </si>
  <si>
    <t>Launched ET1, a Tier III, 3MW/800-rack data centre in Addis Ababa's Ethio ICT Park; opened November 2023.</t>
  </si>
  <si>
    <t>Raxio launches data center in Addis Ababa, Ethiopia</t>
  </si>
  <si>
    <t>https://www.datacenterdynamics.com/en/news/raxio-launches-data-center-in-addis-ababa-ethiopia/</t>
  </si>
  <si>
    <t>November 2023</t>
  </si>
  <si>
    <t>Safaricom Ethiopia (Safaricom PLC / Vodacom-Vodafone consortium)</t>
  </si>
  <si>
    <t>Nairobi, Kenya</t>
  </si>
  <si>
    <t>Ethiopia's first competing mobile network operator since license launch in 2022; passed 10 million active customers by mid-2025 and continues nationwide network buildout.</t>
  </si>
  <si>
    <t>Secured a $138M syndicated loan from Standard Bank Group for continued Ethiopian network expansion; announced December 11, 2025.</t>
  </si>
  <si>
    <t>$138 million</t>
  </si>
  <si>
    <t>Standard Bank, led by Sim Tshabalala, backs Safaricom Ethiopia with $138 million funding push</t>
  </si>
  <si>
    <t>https://www.billionaires.africa/2025/12/11/standard-bank-safaricom-ethiopia-138m-funding/</t>
  </si>
  <si>
    <t>China Civil Engineering Construction Corporation (CCECC)</t>
  </si>
  <si>
    <t>Beijing, China</t>
  </si>
  <si>
    <t>Longtime Ethiopian infrastructure contractor (Addis Ababa-Djibouti railway, Hawassa &amp; Dire Dawa industrial parks, Modjo dry port expansion); now building a new special economic zone.</t>
  </si>
  <si>
    <t>Broke ground on the Lume Free Trade Zone within the new Gada Special Economic Zone in Oromia (~65km SE of Addis Ababa), Ethiopia's second free trade zone; groundbreaking May 10, 2024.</t>
  </si>
  <si>
    <t>Ethiopia launches construction of Chinese-contracted economic zone</t>
  </si>
  <si>
    <t>https://eng.yidaiyilu.gov.cn/p/0M376K98.html</t>
  </si>
  <si>
    <t>May 10, 2024</t>
  </si>
  <si>
    <t>Amsons Industries (K) Ltd (Amsons Group)</t>
  </si>
  <si>
    <t>Dar es Salaam, Tanzania</t>
  </si>
  <si>
    <t>Amsons Group is a Tanzanian family-owned conglomerate active in cement, bulk petroleum, wheat milling and LPG across Tanzania, Burundi, DR Congo, Mozambique and Zambia, generating over $1 billion in annual turnover; its Kenyan subsidiary Amsons Industries (K) Ltd is moving to take control of Bamburi Cement, Kenya's largest cement producer.</t>
  </si>
  <si>
    <t>Launched a mandatory buyout offer for all shares of Bamburi Cement Plc at KSh65/share (a 44% premium), a deal valued at roughly KSh 23.59 billion, to acquire Holcim's 58.6% stake and delist Bamburi from the Nairobi Securities Exchange; announced July 15, 2024.</t>
  </si>
  <si>
    <t>KSh 23.59 billion (~US$180 million)</t>
  </si>
  <si>
    <t>Inside Amsons Group's KShs 23.59bn Buyout Offer for Bamburi Cement</t>
  </si>
  <si>
    <t>https://kenyanwallstreet.com/inside-amsons-group-kshs-23-59bn-buyout-offer-for-bamburi-cement/</t>
  </si>
  <si>
    <t>July 15, 2024</t>
  </si>
  <si>
    <t>Devki Group (Simba Cement)</t>
  </si>
  <si>
    <t>Major Kenyan industrial conglomerate producing cement and steel, with operations spanning Kenya, Uganda, DRC, Rwanda and Zambia.</t>
  </si>
  <si>
    <t>Launched the Cemtech Sebit Clinkerization Plant in West Pokot on April 8, 2024 - a 2-million-tonne-per-year clinker facility ending Kenya's reliance on imported clinker.</t>
  </si>
  <si>
    <t>$220 million (approx. Sh29 billion)</t>
  </si>
  <si>
    <t>Devki Opens Sh29bn Clinker Factory in West Pokot</t>
  </si>
  <si>
    <t>https://www.constructionkenya.com/2941/pokot-cement-factory/</t>
  </si>
  <si>
    <t>April 8, 2024</t>
  </si>
  <si>
    <t>Kenya Vehicle Manufacturers (KVM) — Volkswagen assembly partner</t>
  </si>
  <si>
    <t>Thika, Kenya (local assembly partner; Volkswagen AG HQ Wolfsburg, Germany)</t>
  </si>
  <si>
    <t>Assembles vehicles in Kenya through local partner Kenya Vehicle Manufacturers (KVM) in Thika.</t>
  </si>
  <si>
    <t>Resumed local vehicle assembly (Polo Vivo) at the KVM Thika plant in August 2025, restarting Volkswagen production in Kenya after roughly four decades, targeting about 5,000 units per year.</t>
  </si>
  <si>
    <t>Kenya's motor assembler resumes Volkswagen production</t>
  </si>
  <si>
    <t>https://www.the-star.co.ke/business/2025-08-22-kenya-motor-assembler-resumes-volkswagen-production</t>
  </si>
  <si>
    <t>August 22, 2025</t>
  </si>
  <si>
    <t>Milly Group (Milly Glass SEZ Limited)</t>
  </si>
  <si>
    <t>Mombasa, Kenya</t>
  </si>
  <si>
    <t>Kenyan group also operating a juice-processing factory in Malindi; new subsidiary building what is billed as Africa's first amber pharmaceutical-glass-bottle plant, serving Kenya, Tanzania, Uganda, Rwanda, Burundi and the wider COMESA region.</t>
  </si>
  <si>
    <t>Groundbreaking planned for end of August 2026 on an 80-tonne glass factory (15 acres) inside the Dongo Kundu SEZ, Mombasa, to produce ~300,000 pharmaceutical bottles; production targeted for July 2027.</t>
  </si>
  <si>
    <t>Kenyan firm to be first maker of pharmaceutical bottles in Africa</t>
  </si>
  <si>
    <t>https://www.the-star.co.ke/counties/coast/2026-07-25-kenyan-firm-to-be-first-maker-of-pharmaceutical-bottles-in-africa</t>
  </si>
  <si>
    <t>July 25, 2026</t>
  </si>
  <si>
    <t>DHL</t>
  </si>
  <si>
    <t>Major express/logistics operator in Kenya, positioning Nairobi as a rising African gateway comparable to South Africa.</t>
  </si>
  <si>
    <t>Announced a new carbon-neutral regional headquarters building in Nairobi as part of a EUR300 million (~Sh45 billion), five-year pan-African investment plan spanning e-commerce, perishables, energy and life-sciences logistics (reported October 2025).</t>
  </si>
  <si>
    <t>EUR300 million (Africa-wide five-year plan; Kenya-specific allocation not disclosed)</t>
  </si>
  <si>
    <t>DHL eyes new Nairobi office in Sh45 billion Africa expansion bid</t>
  </si>
  <si>
    <t>https://www.businessdailyafrica.com/bd/corporate/companies/dhl-eyes-new-nairobi-office-in-sh45bn-africa-expansion-bid-5233152</t>
  </si>
  <si>
    <t>October 2025</t>
  </si>
  <si>
    <t>DP World</t>
  </si>
  <si>
    <t>Dubai, UAE</t>
  </si>
  <si>
    <t>Operates container terminal services at the Port of Mombasa and is expanding into inland industrial/logistics real estate near the port.</t>
  </si>
  <si>
    <t>Signed an agreement with GulfCap Africa (August 2026) to co-develop a 222-hectare Mombasa Industrial Park special economic zone within 20km of the Port of Mombasa, for manufacturers, logistics providers and regional distribution businesses.</t>
  </si>
  <si>
    <t>DP World to co-develop free zone in Kenya</t>
  </si>
  <si>
    <t>https://www.agbi.com/logistics/2026/08/dp-world-to-co-develop-free-zone-in-kenya/</t>
  </si>
  <si>
    <t>August 2026</t>
  </si>
  <si>
    <t>Majid Al Futtaim (Carrefour)</t>
  </si>
  <si>
    <t>Kenya's largest hypermarket operator under the Carrefour franchise, growing to 34 outlets nationwide with over 2,800 direct employees by 2025.</t>
  </si>
  <si>
    <t>Opened its 30th Carrefour store in Kenya at Waris Mall, Ruai (1,500 sqm, ~40 jobs) by September 2025, part of eight new store openings that year.</t>
  </si>
  <si>
    <t>Majid Al Futtaim Opens 30th Carrefour Store in Kenya, Creates 40 Jobs</t>
  </si>
  <si>
    <t>https://www.eabusinesstimes.com/majid-al-futtaim-opens-30th-carrefour-store-in-kenya-creates-40-jobs/</t>
  </si>
  <si>
    <t>2025</t>
  </si>
  <si>
    <t>Naivas Limited</t>
  </si>
  <si>
    <t>Kenya's largest homegrown supermarket chain; FY2025 revenue $751.4 million (+21.6% YoY), net profit $16.1 million (+43.4% YoY).</t>
  </si>
  <si>
    <t>Opened its 112th store in Mihango, Nairobi (announced December 2025), part of a plan to add up to 10 stores per year toward a 200-store target.</t>
  </si>
  <si>
    <t>Carrefour and Naivas drive Kenya's retail expansion</t>
  </si>
  <si>
    <t>https://khusoko.com/2025/12/16/carrefour-and-naivas-drive-kenyas-retail-expansion/</t>
  </si>
  <si>
    <t>December 16, 2025</t>
  </si>
  <si>
    <t>Crown Healthcare</t>
  </si>
  <si>
    <t>Kenyan healthcare distributor expanding into pharmaceutical manufacturing, with distribution reach into Nigeria, Tanzania, Uganda and Rwanda.</t>
  </si>
  <si>
    <t>Secured $10 million from Impact Fund Denmark (announced December 15, 2025) to build a large-scale generic-medicines manufacturing plant, expected to create about 600 jobs, cutting reliance on Kenya's ~80% imported medicines.</t>
  </si>
  <si>
    <t>$10 million</t>
  </si>
  <si>
    <t>Kenyan entrepreneur Shilen Thakerar's Crown Healthcare to build new pharma plant with $10 million</t>
  </si>
  <si>
    <t>https://www.billionaires.africa/2025/12/15/kenyan-entrepreneur-shilen-thakerars-crown-healthcare-to-build-new-pharma-plant-with-10-million/</t>
  </si>
  <si>
    <t>December 15, 2025</t>
  </si>
  <si>
    <t>Amazon Web Services (AWS)</t>
  </si>
  <si>
    <t>Seattle, USA</t>
  </si>
  <si>
    <t>Operates a Nairobi-based Development Centre - AWS's second in Africa after Cape Town - housing R&amp;D, cloud support and software engineering teams.</t>
  </si>
  <si>
    <t>Launched its second African Development Centre on Riverside Drive, Nairobi, October 5, 2023.</t>
  </si>
  <si>
    <t>AWS Launches its second African Development Centre in Kenya</t>
  </si>
  <si>
    <t>https://techtrendske.co.ke/2023/10/05/aws-launches-its-second-african-development-centre-in-kenya/</t>
  </si>
  <si>
    <t>October 5, 2023</t>
  </si>
  <si>
    <t>Huawei Technologies</t>
  </si>
  <si>
    <t>Shenzhen, China</t>
  </si>
  <si>
    <t>Huawei has operated in Kenya for over two decades, partnering with the Kenyan government on national ICT infrastructure, most notably building the Konza Technopolis National Cloud Data Centre and Government Cloud alongside network infrastructure for local telecom operators.</t>
  </si>
  <si>
    <t>Committed to build a National Cloud data centre, smart ICT/surveillance systems and a Government Cloud at Konza Technopolis, financed via Chinese concessional loans; Phase 1 (containerized National Data Centre) completed July 2020, valued at KSh 17.5 billion.</t>
  </si>
  <si>
    <t>KSh 17.5 billion (~US$173 million)</t>
  </si>
  <si>
    <t>Phase One National Data Center at Konza Completed</t>
  </si>
  <si>
    <t>https://techweez.com/2020/07/20/phase-one-national-data-center-konza-completed/</t>
  </si>
  <si>
    <t>July 20, 2020</t>
  </si>
  <si>
    <t>Microsoft (with G42)</t>
  </si>
  <si>
    <t>Redmond, USA (partner G42 HQ'd in Abu Dhabi, UAE)</t>
  </si>
  <si>
    <t>Establishing Kenya as its flagship East African digital hub, including a new Azure cloud region and an Innovation Lab in Nairobi.</t>
  </si>
  <si>
    <t>Announced (with G42) a $1 billion comprehensive digital ecosystem initiative on May 22, 2024, including a geothermal-powered data centre in Olkaria and a new Azure East Africa Cloud Region.</t>
  </si>
  <si>
    <t>$1 billion</t>
  </si>
  <si>
    <t>Microsoft and G42 announce $1 billion comprehensive digital ecosystem initiative for Kenya</t>
  </si>
  <si>
    <t>https://news.microsoft.com/source/2024/05/22/microsoft-and-g42-announce-1-billion-comprehensive-digital-ecosystem-initiative-for-kenya/</t>
  </si>
  <si>
    <t>May 22, 2024</t>
  </si>
  <si>
    <t>China Road and Bridge Corporation (CRBC)</t>
  </si>
  <si>
    <t>Long-time Kenyan infrastructure contractor (built the SGR railway); returning to major road projects after a Chinese-lending pause that began around 2019.</t>
  </si>
  <si>
    <t>Launched Phase One ($863 million) of a $1.5 billion Nairobi-Mau Summit highway upgrade with Kenya's NSSF as equity partner, announced November 28, 2025; construction due by end-2027, followed by a 28-year toll concession.</t>
  </si>
  <si>
    <t>$863 million (Phase One of the overall $1.5 billion project)</t>
  </si>
  <si>
    <t>Kenya turns to China for $1.5 billion highway expansion</t>
  </si>
  <si>
    <t>https://www.cnbcafrica.com/2025/kenya-turns-to-china-for-1-5-billion-highway-expansion</t>
  </si>
  <si>
    <t>November 28, 2025</t>
  </si>
  <si>
    <t>Shandong Hi-Speed Road and Bridge International</t>
  </si>
  <si>
    <t>Jinan, Shandong, China</t>
  </si>
  <si>
    <t>New entrant to Kenya's road-concession market via the Nairobi-Mau Summit highway corridor's second phase.</t>
  </si>
  <si>
    <t>Contracted for Phase Two ($678.56 million) of the Nairobi-Mau Summit highway project, developing a 94km six-lane stretch, announced alongside CRBC's Phase One, November 28, 2025.</t>
  </si>
  <si>
    <t>$678.56 million</t>
  </si>
  <si>
    <t>Energy Fuels Inc.</t>
  </si>
  <si>
    <t>Lakewood, Colorado, USA</t>
  </si>
  <si>
    <t>Energy Fuels is advancing the Toliara Project in southwestern Madagascar, a titanium, zirconium and rare-earth mineral sands project.</t>
  </si>
  <si>
    <t>Energy Fuels and the Government of Madagascar executed an MOU on 5 December 2024 to further advance the Toliara project toward a final investment decision.</t>
  </si>
  <si>
    <t>Multi-billion-dollar project potential; ~US$80 million committed to development/community/social funding</t>
  </si>
  <si>
    <t>Energy Fuels and Madagascar Government Execute Memorandum of Understanding to Further Advance Toliara Critical Mineral Project in Madagascar</t>
  </si>
  <si>
    <t>https://investors.energyfuels.com/2024-12-05-Energy-Fuels-and-Madagascar-Government-Execute-Memorandum-of-Understanding-to-Further-Advance-Toliara-Critical-Mineral-Project-in-Madagascar</t>
  </si>
  <si>
    <t>2024-12-05</t>
  </si>
  <si>
    <t>Super U (with Habibo Group)</t>
  </si>
  <si>
    <t>France (Système U)</t>
  </si>
  <si>
    <t>Super U entered Madagascar's retail market by taking over Shoprite's 10-store supermarket network.</t>
  </si>
  <si>
    <t>Super U announced (reported September 2021) the takeover of Shoprite's 10 Madagascar stores, following Shoprite's exit from the market.</t>
  </si>
  <si>
    <t>Super U takes over 10 Shoprite stores in Madagascar</t>
  </si>
  <si>
    <t>https://trendtype.com/news/super-u-takes-over-10-shoprite-stores-in-madagascar/</t>
  </si>
  <si>
    <t>2021-09-19</t>
  </si>
  <si>
    <t>Orange Madagascar</t>
  </si>
  <si>
    <t>Orange Madagascar is one of the country's leading mobile network operators.</t>
  </si>
  <si>
    <t>Orange Madagascar renewed its comprehensive telecom license for ~€30 million (acquired December 2023) and is deploying 500 new 2G/3G sites via a 10-year partnership with NuRAN Wireless.</t>
  </si>
  <si>
    <t>€30 million (license renewal)</t>
  </si>
  <si>
    <t>Orange Madagascar boosts telecom network coverage with new license and investments</t>
  </si>
  <si>
    <t>https://www.ecofinagency.com/telecom/2601-45164-orange-madagascar-boosts-telecom-network-coverage-with-new-license-and-investments</t>
  </si>
  <si>
    <t>2024-01-26</t>
  </si>
  <si>
    <t>Bakhresa Malawi Limited</t>
  </si>
  <si>
    <t>Bakhresa Malawi, part of Tanzania's Bakhresa Group, is a major grain-milling and edible-oil processor with facilities in Blantyre.</t>
  </si>
  <si>
    <t>Commissioned a new K175 billion (~US$100 million) cooking-oil refinery and soya solvent-extraction plant in Blantyre on 10 July 2025.</t>
  </si>
  <si>
    <t>K175 billion (~US$100 million)</t>
  </si>
  <si>
    <t>Bakhresa commissions K175 billion plant</t>
  </si>
  <si>
    <t>https://mwnation.com/bakhresa-commissions-k175-billion-plant/</t>
  </si>
  <si>
    <t>2025-07-10</t>
  </si>
  <si>
    <t>Portland Cement Malawi (Huaxin Cement)</t>
  </si>
  <si>
    <t>Wuhan, China</t>
  </si>
  <si>
    <t>Portland Cement Malawi, majority-owned by China's Huaxin Cement, runs the country's newest integrated cement plant in Balaka.</t>
  </si>
  <si>
    <t>Commissioned a US$100 million integrated cement plant in Balaka on 5 December 2025, adding 800,000 tonnes/year of capacity.</t>
  </si>
  <si>
    <t>US$100 million</t>
  </si>
  <si>
    <t>Huaxin Building Materials and Portland Cement Malawi launch US$100m cement plant</t>
  </si>
  <si>
    <t>https://www.globalcement.com/news/20187-huaxin-building-materials-and-portland-cement-malawi-launch-us-100m-cement-plant</t>
  </si>
  <si>
    <t>Bolloré Logistics Malawi</t>
  </si>
  <si>
    <t>Paris, France</t>
  </si>
  <si>
    <t>Bolloré Logistics Malawi is the Malawi unit of the pan-African Bolloré Logistics freight-forwarding network.</t>
  </si>
  <si>
    <t>Won and completed the logistics contract for Malawi's 60MW Golomoti Solar project, shipping 221 TEUs via the Port of Beira between March and December 2021.</t>
  </si>
  <si>
    <t>Bolloré Logistics Malawi successfully completes logistics for the Golomoti Solar project</t>
  </si>
  <si>
    <t>https://www.ecofinagency.com/public-management/2803-43488-bollore-logistics-malawi-successfully-completes-logistics-for-the-golomoti-solar-project</t>
  </si>
  <si>
    <t>2021-12</t>
  </si>
  <si>
    <t>Chint Electric Co. Ltd</t>
  </si>
  <si>
    <t>Yueqing, Zhejiang, China</t>
  </si>
  <si>
    <t>Chint Electric acted as EPC contractor for Malawi state utility EGENCO's new solar programme.</t>
  </si>
  <si>
    <t>Built and commissioned the first 10MW phase of the Nanjoka solar plant (of a planned 50MW project) on 10 August 2026.</t>
  </si>
  <si>
    <t>US$13.55 million</t>
  </si>
  <si>
    <t>Malawi Adds 10 MW Solar Plant to Reduce Reliance on Hydropower</t>
  </si>
  <si>
    <t>https://www.ecofinagency.com/news-industry/1008-58074-malawi-adds-10-mw-solar-plant-to-reduce-reliance-on-hydropower</t>
  </si>
  <si>
    <t>2026-08-10</t>
  </si>
  <si>
    <t>Medine Group (Cascavelle Shopping Mall)</t>
  </si>
  <si>
    <t>Bambous, Mauritius</t>
  </si>
  <si>
    <t>Medine Group operates Cascavelle Shopping Mall in the island's western region, one of Mauritius's largest retail and leisure destinations.</t>
  </si>
  <si>
    <t>Announced a Rs 2.6 billion extension of Cascavelle Mall that will triple its footprint, adding 19,500m² and 66 new retail outlets, reported 18 July 2024.</t>
  </si>
  <si>
    <t>Rs 2.6 billion (~US$57 million)</t>
  </si>
  <si>
    <t>Cascavelle Shopping Mall: Medine Group invests Rs 2.6 billion for extension</t>
  </si>
  <si>
    <t>https://www.propertycloud.mu/blog/cascavelle-shopping-mall-medine-group-invests-rs-26-billion-for-extension</t>
  </si>
  <si>
    <t>2024-07-18</t>
  </si>
  <si>
    <t>IBL Group (Nouvelle Clinique Bon Pasteur)</t>
  </si>
  <si>
    <t>Port Louis, Mauritius</t>
  </si>
  <si>
    <t>IBL Group's healthcare arm, Life Together, runs three private clinics in Mauritius, including Nouvelle Clinique Bon Pasteur.</t>
  </si>
  <si>
    <t>Confirmed it is modernising Bon Pasteur clinic into a community hospital with new intensive-care and maternity services, per an interview published 6 October 2025.</t>
  </si>
  <si>
    <t>Mauritius remains our core market</t>
  </si>
  <si>
    <t>https://iblgroup.com/newsroom/mauritius-remains-our-core-market/</t>
  </si>
  <si>
    <t>2025-10-06</t>
  </si>
  <si>
    <t>Emtel Ltd</t>
  </si>
  <si>
    <t>Ebène, Mauritius</t>
  </si>
  <si>
    <t>Emtel is Mauritius's first private mobile network operator.</t>
  </si>
  <si>
    <t>Launched Mauritius's first live 5G network (60% population coverage at launch) on 31 July 2023 and announced a BSS modernisation partnership with Tecnotree.</t>
  </si>
  <si>
    <t>Emtel Mauritius launches 5G, taps Tecnotree for digital transformation</t>
  </si>
  <si>
    <t>https://developingtelecoms.com/telecom-technology/telecom-cloud-virtualization/15320-emtel-mauritius-selects-tecnotree-for-bss-transformation.html</t>
  </si>
  <si>
    <t>2023-08-02</t>
  </si>
  <si>
    <t>Cimentos de Moçambique (Huaxin Cement)</t>
  </si>
  <si>
    <t>Cimentos de Moçambique, majority-owned by China's Huaxin Cement, operates the country's cement plant in Nacala, Nampula province.</t>
  </si>
  <si>
    <t>Completed a US$110 million expansion at its Nacala plant, tripling cement/clinker capacity from 0.4 to 1.2 million tonnes/year, reported 28 July 2026.</t>
  </si>
  <si>
    <t>US$110 million</t>
  </si>
  <si>
    <t>Cimentos de Moçambique triples capacity at Nacala plant through US$110m expansion</t>
  </si>
  <si>
    <t>https://www.globalcement.com/news/21049-cimentos-de-mocambique-triples-capacity-at-nacala-plant-through-us-110m-expansion</t>
  </si>
  <si>
    <t>2026-07-28</t>
  </si>
  <si>
    <t>Eni S.p.A. (Coral Sul FLNG)</t>
  </si>
  <si>
    <t>Rome, Italy</t>
  </si>
  <si>
    <t>Eni operates the Coral Sul floating LNG facility off Mozambique's Rovuma Basin — the country's first LNG production.</t>
  </si>
  <si>
    <t>Coral Sul FLNG has been producing LNG since 2022, and Eni's approved Coral Norte development (3.55 million tonnes/year, production expected H2 2028) was cited as of August 2026.</t>
  </si>
  <si>
    <t>Mozambique: Southern Africa's emerging industrial platform</t>
  </si>
  <si>
    <t>https://www.cnbcafrica.com/2026/mozambique-southern-africas-emerging-industrial-platform</t>
  </si>
  <si>
    <t>2026-08-14</t>
  </si>
  <si>
    <t>DP World (Maputo Port Development Company)</t>
  </si>
  <si>
    <t>Dubai, United Arab Emirates</t>
  </si>
  <si>
    <t>DP World, alongside Mozambique's CFM and Grindrod, operates the Maputo Port Development Company running the Port of Maputo under a concession extended to 2058.</t>
  </si>
  <si>
    <t>Underway on a US$165 million first-phase project (part of a wider US$1.1 billion plan to 2033) to expand Maputo Port's container capacity, reported September 2025.</t>
  </si>
  <si>
    <t>US$165 million (phase one); US$1.1 billion (full programme to 2033)</t>
  </si>
  <si>
    <t>Maputo port targets expansion and role as regional logistics hub</t>
  </si>
  <si>
    <t>https://african.business/2025/09/trade-investment/maputo-port-targets-role-as-regional-logistics-hub</t>
  </si>
  <si>
    <t>2025-09</t>
  </si>
  <si>
    <t>Cimerwa Plc</t>
  </si>
  <si>
    <t>Kigali/Bugarama, Rwanda (majority-owned by National Cement Holdings, Kenya, since Nov 2023)</t>
  </si>
  <si>
    <t>Rwanda's leading cement producer, operating the country's only integrated cement plant in Bugarama, Rusizi district.</t>
  </si>
  <si>
    <t>Rwandan government signed a 15-year quarry deal enabling Cimerwa to build a new $190M clinker plant in Musanze to end clinker imports; announced late September/October 2025.</t>
  </si>
  <si>
    <t>$190 million (approx. Rwf 275 billion)</t>
  </si>
  <si>
    <t>Rwanda: Cimerwa's $190m Clinker Plant to Cut Imports, Save Rwanda Billions</t>
  </si>
  <si>
    <t>https://allafrica.com/stories/202510010022.html</t>
  </si>
  <si>
    <t>2025-10-01</t>
  </si>
  <si>
    <t>RK Industries Ltd</t>
  </si>
  <si>
    <t>Dar es Salaam, Tanzania (Indian-owned group)</t>
  </si>
  <si>
    <t>Regional manufacturer expanding into Rwanda; opened Rwanda's first-ever toothpaste factory inside the Kigali Special Economic Zone.</t>
  </si>
  <si>
    <t>Inaugurated Rwanda's first toothpaste factory ('ProSmile' brand) in Kigali Special Economic Zone, November 22, 2024.</t>
  </si>
  <si>
    <t>$5 million</t>
  </si>
  <si>
    <t>FEATURED: RK Industries opens Rwanda's first toothpaste factory</t>
  </si>
  <si>
    <t>https://www.newtimes.co.rw/article/22073/news/featured/featured-rk-industries-opens-rwandas-first-toothpaste-factory</t>
  </si>
  <si>
    <t>2024-11-24</t>
  </si>
  <si>
    <t>Volkswagen AG (Volkswagen Mobility Solutions Rwanda)</t>
  </si>
  <si>
    <t>Wolfsburg, Germany</t>
  </si>
  <si>
    <t>Operates Rwanda's Volkswagen vehicle assembly plant and mobility/ride-hailing business (Move) in Kigali, its first sub-Saharan assembly plant outside South Africa/Nigeria/Ghana/Kenya cluster.</t>
  </si>
  <si>
    <t>Confirmed it will relocate its Rwanda assembly, retail and mobility operations to a larger facility within Kigali Special Economic Zone to support expansion, effective April 1, 2026; investment amount not disclosed.</t>
  </si>
  <si>
    <t>Volkswagen: We're in Rwanda to stay</t>
  </si>
  <si>
    <t>https://www.theeastafrican.co.ke/tea/business-tech/volkswagen-we-re-in-rwanda-to-stay-5402574</t>
  </si>
  <si>
    <t>AGL Rwanda (Africa Global Logistics, MSC Group)</t>
  </si>
  <si>
    <t>Marseille, France (AGL, part of the MSC Group)</t>
  </si>
  <si>
    <t>Operates 21,000 sqm of bonded/duty-free warehousing across six sites in Rwanda's Kigali Special Economic Zone, a major freight-forwarding and customs logistics operator.</t>
  </si>
  <si>
    <t>Laid the foundation stone for a 5,000 sqm warehouse extension with cold-chain capability in the Kigali Special Economic Zone, April 15, 2024.</t>
  </si>
  <si>
    <t>AGL Rwanda lays the foundation stone for the extension of its logistics warehouse in Kigali</t>
  </si>
  <si>
    <t>https://logistafrica.com/en/logistic/agl-rwanda-lays-the-foundation-stone-for-the-extension-of-its-logistics-warehouse-in-kigali/</t>
  </si>
  <si>
    <t>2024-04-15</t>
  </si>
  <si>
    <t>Zipline International Inc.</t>
  </si>
  <si>
    <t>South San Francisco, California, USA</t>
  </si>
  <si>
    <t>Has operated autonomous drone delivery of blood and medical supplies in Rwanda since 2016; Rwanda became the first country to achieve nationwide autonomous logistics coverage, including Africa's first urban drone delivery network in Kigali.</t>
  </si>
  <si>
    <t>Rwanda and the U.S. State Department signed a $150 million 'pay-for-performance' expansion deal deploying Platform 2 urban delivery drones in Kigali and a new distribution hub in Karongi District, plus Zipline's first international AI/robotics testing facility; announced February 6, 2026.</t>
  </si>
  <si>
    <t>$150 million</t>
  </si>
  <si>
    <t>Rwanda Signs $150 Million Expansion Deal With US-Based Zipline for Nationwide Drone Medical Deliveries</t>
  </si>
  <si>
    <t>https://empowerafrica.com/rwanda-signs-150-million-expansion-deal-with-us-based-zipline-for-nationwide-drone-medical-deliveries/</t>
  </si>
  <si>
    <t>2026-02-06</t>
  </si>
  <si>
    <t>Groupe Duval (Inzovu Mall / U Express)</t>
  </si>
  <si>
    <t>Paris, France (Groupe Duval); U Express is a Systeme U (France) supermarket brand</t>
  </si>
  <si>
    <t>Developing Kigali's largest shopping mall (Inzovu Mall, Kimihurura) and bringing the French U Express supermarket chain into Rwanda as anchor tenant, with plans for 10 stores nationwide over 5 years.</t>
  </si>
  <si>
    <t>Construction of the $68-71M, 40,000 sqm Inzovu Mall began August 2023 (IFC and Proparco each providing $17.5M); first U Express store slated to open at the mall in early 2026, with completion/public opening late 2025.</t>
  </si>
  <si>
    <t>$68-71 million (Inzovu Mall project)</t>
  </si>
  <si>
    <t>Inzovu Mall developer, French supermarket chain to open 10 stores in Rwanda</t>
  </si>
  <si>
    <t>https://en.igihe.com/business-62/article/inzovu-mall-developer-french-supermarket-chain-to-open-10-stores-in-rwanda</t>
  </si>
  <si>
    <t>2024</t>
  </si>
  <si>
    <t>Simba Supermarket Ltd</t>
  </si>
  <si>
    <t>Kigali, Rwanda</t>
  </si>
  <si>
    <t>Rwandan-owned supermarket chain, one of the country's largest retail grocery operators with a nationwide branch network.</t>
  </si>
  <si>
    <t>Opened its 13th branch, in Rubavu, as part of continued nationwide expansion; reported March 16, 2025.</t>
  </si>
  <si>
    <t>Simba Supermarket Expands to Rubavu, Boosting Local Economy and Employment</t>
  </si>
  <si>
    <t>https://taarifa.rw/index.php/2025/03/16/simba-supermarket-expands-to-rubavu-boosting-local-economy-and-employment/</t>
  </si>
  <si>
    <t>2025-03-16</t>
  </si>
  <si>
    <t>African Pharmaceutical Technology Foundation (APTF)</t>
  </si>
  <si>
    <t>Kigali, Rwanda (pan-African regional body, backed by African Development Fund)</t>
  </si>
  <si>
    <t>Rwanda-headquartered foundation established with Rwanda's Ministry of Health to build regional pharmaceutical manufacturing capacity and collective medicine procurement for Africa.</t>
  </si>
  <si>
    <t>African Development Fund board approved $12M financing for APTF's rapid operationalization in Kigali; financing approved February 2024, project launched in Kigali May 2024.</t>
  </si>
  <si>
    <t>$12 million</t>
  </si>
  <si>
    <t>The $12M Regional Pharmaceutical Project Launched in Kigali</t>
  </si>
  <si>
    <t>https://www.ktpress.rw/2024/05/the-12m-regional-pharmaceutical-project-launched-in-kigali/</t>
  </si>
  <si>
    <t>2024-05</t>
  </si>
  <si>
    <t>BioNTech SE</t>
  </si>
  <si>
    <t>Mainz, Germany</t>
  </si>
  <si>
    <t>Operates Africa's first end-to-end mRNA vaccine manufacturing facility in Kigali (inaugurated 2023), built to produce vaccines for malaria, TB, HIV and mpox using modular 'BioNTainer' units; anchor tenant of Rwanda's emerging pharma manufacturing base.</t>
  </si>
  <si>
    <t>EU Commission and European Investment Bank signed a blended-finance agreement (EUR35M grant + up to EUR60M EIB loan) to scale up the Kigali mRNA facility, announced/signed October 8-13, 2025.</t>
  </si>
  <si>
    <t>Up to EUR95 million (EU/EIB) on top of BioNTech's original ~$150 million facility build</t>
  </si>
  <si>
    <t>EIB and European Commission join forces with BioNTech to build a sustainable vaccine ecosystem in Africa</t>
  </si>
  <si>
    <t>https://www.eib.org/en/press/all/2025-380-eib-and-european-commission-join-forces-with-biontech-to-build-a-sustainable-vaccine-ecosystem-in-africa</t>
  </si>
  <si>
    <t>2025-10-13</t>
  </si>
  <si>
    <t>Africa Data Centres (Cassava Technologies)</t>
  </si>
  <si>
    <t>Johannesburg, South Africa (Cassava Technologies, part of Econet Group)</t>
  </si>
  <si>
    <t>Building its first data centre in Kigali as part of Cassava Technologies' $500 million plan to build 10 data centres across Africa, supporting Rwanda's digital transformation agenda.</t>
  </si>
  <si>
    <t>Broke ground on a purpose-built 2MW data centre in Kigali, Q1 2023.</t>
  </si>
  <si>
    <t>Africa Data Centres to build its first data centre in Kigali, Rwanda</t>
  </si>
  <si>
    <t>https://www.africadatacentres.com/africa-data-centres-to-build-its-first-data-centre-in-kigali-rwanda/</t>
  </si>
  <si>
    <t>2023</t>
  </si>
  <si>
    <t>Paratus Rwanda (Paratus Group)</t>
  </si>
  <si>
    <t>Windhoek, Namibia (pan-African network operator)</t>
  </si>
  <si>
    <t>Paratus Rwanda is a pan-African telecom infrastructure and connectivity provider that opened operations in Rwanda in October 2025, offering fibre, satellite and cloud connectivity including Starlink services (Starlink for Business) to Rwandan enterprises.</t>
  </si>
  <si>
    <t>Opened operations in Rwanda ("Paratus opens in Rwanda"), October 22, 2025, and has continued expanding its local team and Starlink-based connectivity offering, including a showcase of its Starlink for Business suite at AfPIF 2026 (August 24, 2026).</t>
  </si>
  <si>
    <t>Paratus opens in Rwanda</t>
  </si>
  <si>
    <t>https://paratus.co.rw/news/</t>
  </si>
  <si>
    <t>October 22, 2025</t>
  </si>
  <si>
    <t>ARISE Integrated Industrial Platforms (ARISE IIP)</t>
  </si>
  <si>
    <t>Ebene, Mauritius (backed by Africa Finance Corporation)</t>
  </si>
  <si>
    <t>Pan-African industrial-zone developer; co-developing Rwanda's Bugesera Special Economic Zone (BSEZ) through joint venture BSEZ Ltd with the Government of Rwanda.</t>
  </si>
  <si>
    <t>Bank of Kigali ($33M) and Development Bank of Rwanda ($19M) injected a combined $52 million into the 335-hectare Bugesera Industrial Park/SEZ (part of a $100M project launched in 2023, Phase 1 of 75 hectares already operational), targeting light manufacturing, agro-processing, pharma and logistics tenants; reported August 2025.</t>
  </si>
  <si>
    <t>$52 million (recent tranche); $100 million total project</t>
  </si>
  <si>
    <t>BK, BRD Inject $52M into Bugesera Industrial Park</t>
  </si>
  <si>
    <t>https://www.ktpress.rw/2025/08/bk-brd-inject-52m-into-bugesera-industrial-park/</t>
  </si>
  <si>
    <t>2025-08</t>
  </si>
  <si>
    <t>Mota-Engil</t>
  </si>
  <si>
    <t>Porto, Portugal</t>
  </si>
  <si>
    <t>Lead construction contractor for Rwanda's flagship Bugesera International Airport project near Kigali, including the passenger terminal and cargo terminal (the largest steel structure of its kind in Rwanda).</t>
  </si>
  <si>
    <t>Continued major construction works on the ~$2 billion Bugesera International Airport (Mota-Engil's original contract from 2016 covering an $818M first phase), with visible progress reported through 2025 and phased completion targeted for 2024/2025 (8M passenger capacity) and 2028 (full build-out).</t>
  </si>
  <si>
    <t>$818 million (Mota-Engil's original construction phases); total project ~$2 billion</t>
  </si>
  <si>
    <t>Bugesera International Airport construction takes shape</t>
  </si>
  <si>
    <t>https://en.igihe.com/news/article/bugesera-international-airport-construction-takes-shape</t>
  </si>
  <si>
    <t>2025-05</t>
  </si>
  <si>
    <t>Thai Union Group (Indian Ocean Tuna Ltd)</t>
  </si>
  <si>
    <t>Bangkok, Thailand</t>
  </si>
  <si>
    <t>Thai Union owns a majority (60%) stake in Indian Ocean Tuna Ltd, which operates one of the world's largest tuna canneries in Victoria, Seychelles.</t>
  </si>
  <si>
    <t>Thai Union announced a further EUR 10 million investment into the Seychelles cannery (on top of a prior EUR 40 million upgrade), announced late April/early May 2022.</t>
  </si>
  <si>
    <t>EUR 10 million additional (approx. USD 10.2 million)</t>
  </si>
  <si>
    <t>Thai Union to invest another €10m in Seychelles tuna plant</t>
  </si>
  <si>
    <t>https://www.undercurrentnews.com/2022/05/04/thai-union-to-invest-another-e10m-in-seychelles-tuna-plant/</t>
  </si>
  <si>
    <t>2022-05-04</t>
  </si>
  <si>
    <t>Seychelles Trading Company (STC)</t>
  </si>
  <si>
    <t>Victoria, Seychelles</t>
  </si>
  <si>
    <t>STC is Seychelles' major state-owned wholesale, import, distribution and retail group.</t>
  </si>
  <si>
    <t>STC inaugurated a new state-of-the-art SCR 110 million cold storage facility at Bois de Rose on 13 June 2025.</t>
  </si>
  <si>
    <t>SCR 110 million (self-financed)</t>
  </si>
  <si>
    <t>Seychelles Trading Company Unveils State-of-the-Art Cold Storage Facility to Strengthen National Food Security</t>
  </si>
  <si>
    <t>https://www.statehouse.gov.sc/news/6499/seychelles-trading-company-unveils-state-of-the-art-cold-storage-facility-to-strengthen-national-food-security</t>
  </si>
  <si>
    <t>2025-06-13</t>
  </si>
  <si>
    <t>Cable &amp; Wireless Seychelles</t>
  </si>
  <si>
    <t>Cable &amp; Wireless Seychelles is one of the country's two main telecom/ISP operators.</t>
  </si>
  <si>
    <t>Inaugurated the 'Bon Espoir' Data Centre, Seychelles' first Tier IV data centre, unveiled 22 November 2024.</t>
  </si>
  <si>
    <t>Cable &amp; Wireless inaugurates state-of-the-art data centre</t>
  </si>
  <si>
    <t>https://www.nation.sc/articles/24190/cable--wireless-inaugurates-state-of-the-art-data-centre</t>
  </si>
  <si>
    <t>2024-11-22</t>
  </si>
  <si>
    <t>IFFCO Somaliland</t>
  </si>
  <si>
    <t>Sharjah/Dubai, United Arab Emirates</t>
  </si>
  <si>
    <t>IFFCO, a Gulf-based FMCG/edible-oils conglomerate, entered Somaliland by signing a 25-year lease to build a large edible-oil packing plant inside DP World's Berbera Economic Zone.</t>
  </si>
  <si>
    <t>IFFCO announced construction of a 300,000 sq ft edible oil packing plant at the Berbera Economic Zone, announced 8 November 2022.</t>
  </si>
  <si>
    <t>IFFCO to develop 300,000 square feet edible oil packing plant at DP World's Berbera Economic Zone, Somaliland</t>
  </si>
  <si>
    <t>https://www.dpworld.com/news/releases/iffco-develops-edible-oil-packing-plant-at-dp-worlds-economic-zone-somaliland/</t>
  </si>
  <si>
    <t>2022-11-08</t>
  </si>
  <si>
    <t>Hayat Market (Safa International Group)</t>
  </si>
  <si>
    <t>Mogadishu, Somalia</t>
  </si>
  <si>
    <t>Hayat Market is a modern supermarket chain in Mogadishu operated by UAE-based Safa International Group.</t>
  </si>
  <si>
    <t>Since opening its first branch in April 2020, Hayat Market expanded to at least five branches across Mogadishu districts by 2025, named Best Supermarket Chain of the Year at the 2024 East Africa Somali Awards.</t>
  </si>
  <si>
    <t>Hayat Market</t>
  </si>
  <si>
    <t>https://en.wikipedia.org/wiki/Hayat_Market</t>
  </si>
  <si>
    <t>Rotana Hotel Management (with Riverside Holding)</t>
  </si>
  <si>
    <t>Rotana is entering the Somali market in partnership with local developer Riverside Holding.</t>
  </si>
  <si>
    <t>Announced construction of the Mogadishu Rotana, Somalia's first five-star hotel (321 keys), targeting completion in 2026.</t>
  </si>
  <si>
    <t>Rotana Unveils Plans for Mogadishu Rotana – The First-Ever Five-Star Hotel in Somalia</t>
  </si>
  <si>
    <t>https://alephhospitality.com/news/rotana-unveils-plans-for-mogadishu-rotana-the-first-ever-five-star-hotel-in-somalia/</t>
  </si>
  <si>
    <t>Trinity Energy Group</t>
  </si>
  <si>
    <t>Juba, South Sudan</t>
  </si>
  <si>
    <t>Trinity Energy is a leading indigenous South Sudanese energy company operating fuel import, storage and distribution infrastructure.</t>
  </si>
  <si>
    <t>Advancing a planned USD 500 million, initially 60,000 bpd domestic oil refinery at Paloch, Upper Nile State; as of July 2024 had completed feasibility studies and secured land/concession.</t>
  </si>
  <si>
    <t>USD 500 million (announced project cost)</t>
  </si>
  <si>
    <t>South Sudan's Trinity Energy eyes domestic refinery despite local industry woes</t>
  </si>
  <si>
    <t>https://african.business/2024/07/resources/south-sudans-trinity-energy-eyes-domestic-refinery-despite-local-industry-woes</t>
  </si>
  <si>
    <t>2024-07-10</t>
  </si>
  <si>
    <t>Brilliant Pharmaceutical Company (BPC)</t>
  </si>
  <si>
    <t>Brilliant Pharmaceutical Company is an indigenous South Sudanese pharmaceutical supplier based in Muniki, Juba.</t>
  </si>
  <si>
    <t>Became fully operational and was officially launched on 12 October 2025, supplying anti-malarial and antibiotic products domestically.</t>
  </si>
  <si>
    <t>Brilliant Pharmaceutical Company opens in Juba</t>
  </si>
  <si>
    <t>https://www.onecitizendaily.com/index.php/2025/10/13/brilliant-pharmaceutical-company-opens-in-juba/</t>
  </si>
  <si>
    <t>Bayobab (MTN Group)</t>
  </si>
  <si>
    <t>Bayobab is MTN Group's pan-African wholesale infrastructure business, newly licensed to build and operate fibre networks in South Sudan.</t>
  </si>
  <si>
    <t>South Sudan's National Communications Authority issued Bayobab a 15-year license (issued 16 October 2025, announced 28 November 2025) as part of its wider USD 320 million 'Project East 2 West' continental fibre corridor.</t>
  </si>
  <si>
    <t>Part of a broader USD 320 million pan-African initiative; South Sudan-specific figure not disclosed</t>
  </si>
  <si>
    <t>MTN's Bayobab licenced to operate fibre networks in South Sudan</t>
  </si>
  <si>
    <t>https://developingtelecoms.com/telecom-technology/optical-fixed-networks/19414-mtns-bayobab-licenced-to-operate-fibre-networks-in-south-sudan.html</t>
  </si>
  <si>
    <t>2025-11-28</t>
  </si>
  <si>
    <t>Shandong Hi-Speed Group (SDHS)</t>
  </si>
  <si>
    <t>Shandong Hi-Speed Group is a Chinese state-owned infrastructure conglomerate contracted for major South Sudanese highway construction.</t>
  </si>
  <si>
    <t>Signed/renewed a contract (announced 3 December 2020) to build the 392 km Juba-Rumbek highway, including 10 bridges, 35 box culverts and 21 viaducts.</t>
  </si>
  <si>
    <t>South Sudan, Chinese firm renew contract for road construction</t>
  </si>
  <si>
    <t>https://pachodo.org/news-from-various-sources/26220-south-sudan-chinese-firm-renew-contract-for-road-construction</t>
  </si>
  <si>
    <t>2020-12-03</t>
  </si>
  <si>
    <t>Amsons Group</t>
  </si>
  <si>
    <t>Tanzania-founded (2000) conglomerate with cement, construction, transport, flour and container-depot interests; expanding aggressively into Kenya (Bamburi Cement acquisition) and Zambia.</t>
  </si>
  <si>
    <t>Announced $320 million greenfield cement plant investment in Tanzania (1.6Mt/yr capacity), adding to its existing Camel Cement grinding plant and 65% stake in Mbeya Cement, November 2024.</t>
  </si>
  <si>
    <t>$320 million</t>
  </si>
  <si>
    <t>Amsons Group takes aim at East Africa</t>
  </si>
  <si>
    <t>https://www.globalcement.com/news/analysis/18696-amsons-group-takes-aim-at-east-africa</t>
  </si>
  <si>
    <t>November 2024</t>
  </si>
  <si>
    <t>Bakhresa Group</t>
  </si>
  <si>
    <t>Dar es Salaam, Tanzania (pan-African operations across ~11 countries)</t>
  </si>
  <si>
    <t>Tanzania's largest privately owned conglomerate, with flour milling, beverages, sugar and shipping operations across East and Central Africa.</t>
  </si>
  <si>
    <t>Announced $500 million expansion of its Mwandege facility (Mkuranga District, Pwani Region) to double soft-drink/juice production capacity, part of its 50th-anniversary investment push, targeted for completion by 2026.</t>
  </si>
  <si>
    <t>$500 million</t>
  </si>
  <si>
    <t>Tanzanian businessman Bakhresa to invest $500 million in major factory expansion</t>
  </si>
  <si>
    <t>https://www.thecitizen.co.tz/tanzania/news/national/tanzanian-businessman-bakhresa-to-invest-500-million-in-major-factory-expansion-5147966</t>
  </si>
  <si>
    <t>Dangote Cement Plc</t>
  </si>
  <si>
    <t>Operates Tanzania's largest cement manufacturing plant and is one of Africa's largest cement producers, with Tanzania a key part of its regional East/Southern Africa growth strategy.</t>
  </si>
  <si>
    <t>Tanzania government is courting Dangote for further multi-billion-dollar investments in fertiliser, power and industrial infrastructure, building on its existing ~$800M cement plant (2026).</t>
  </si>
  <si>
    <t>$800 million (existing plant); additional fertiliser/power investment amount Not disclosed</t>
  </si>
  <si>
    <t>After $800m Cement Plant, Tanzania Seeks Bigger Dangote Investments in Energy and Industry</t>
  </si>
  <si>
    <t>https://www.legit.ng/business-economy/energy/1724147-after-800m-cement-plant-tanzania-seeks-bigger-dangote-investments-energy-industry/</t>
  </si>
  <si>
    <t>2026</t>
  </si>
  <si>
    <t>Global port and logistics operator now managing key multi-purpose terminals at the Port of Dar es Salaam under a long-term concession, positioning Tanzania as a regional trade gateway for landlocked neighbours.</t>
  </si>
  <si>
    <t>Signed a 30-year concession with Tanzania Ports Authority to operate multi-purpose terminals at Dar es Salaam Port, with an initial investment exceeding $250M (potentially up to $1B across the concession, including hinterland logistics and a possible SEZ), October 22, 2023.</t>
  </si>
  <si>
    <t>$250 million initial (up to $1 billion potential over 30-year term)</t>
  </si>
  <si>
    <t>DP World Signs 30-Year Concession to Operate Multi-Purpose Dar es Salaam Port in Tanzania</t>
  </si>
  <si>
    <t>https://www.dpworld.com/en/news/dp-world-signs-30-year-concession-to-operate-multi-purpose-dar-es-salaam-port-in-tanzania</t>
  </si>
  <si>
    <t>October 22, 2023</t>
  </si>
  <si>
    <t>Scan Global Logistics</t>
  </si>
  <si>
    <t>Copenhagen, Denmark</t>
  </si>
  <si>
    <t>Global freight forwarder that opened its first Tanzania office in Dar es Salaam to complete its East African network, serving landlocked markets including Rwanda, Burundi, Zambia and the DRC via the Port of Dar es Salaam.</t>
  </si>
  <si>
    <t>Opened a new Dar es Salaam office (ocean/air freight, project logistics, warehousing, customs clearance) with Jan Andersson appointed Managing Director, February 3, 2025.</t>
  </si>
  <si>
    <t>Scan Global Logistics expands into Tanzania to complete its access to East Africa</t>
  </si>
  <si>
    <t>https://www.scangl.com/news/scan-global-logistics-expands-into-tanzania-to-complete-its-access-to-east-africa/</t>
  </si>
  <si>
    <t>February 3, 2025</t>
  </si>
  <si>
    <t>Woolworths Holdings (Woolworths Tanzania)</t>
  </si>
  <si>
    <t>Cape Town, South Africa</t>
  </si>
  <si>
    <t>South African retail group operating apparel/homeware stores in Tanzania - five outlets nationwide including four in Dar es Salaam (PPF Towers, Mlimani City, Palm Village, Kunduchi Mall) plus TFA Mall in Arusha.</t>
  </si>
  <si>
    <t>Opened a new store at Kunduchi Mall, Dar es Salaam, its fifth Tanzania outlet, with further expansion planned into Dodoma and Mwanza, January 30, 2026.</t>
  </si>
  <si>
    <t>Woolworths Tanzania opens new store at Kunduchi Mall</t>
  </si>
  <si>
    <t>https://www.thecitizen.co.tz/tanzania/business/woolworths-tanzania-opens-new-store-at-kunduchi-mall-5342838</t>
  </si>
  <si>
    <t>January 30, 2026</t>
  </si>
  <si>
    <t>TOL Gases Plc (Tanzania Oxygen Limited)</t>
  </si>
  <si>
    <t>Tanzania's leading industrial/medical gas producer, listed on the Dar es Salaam Stock Exchange, now anchoring a regional medical-oxygen production hub alongside Kenyan producers Hewatele and Synergy.</t>
  </si>
  <si>
    <t>Broke ground on a $22 million liquid medical-oxygen production facility in Dar es Salaam (part of a Unitaid/CHAI/PATH/MedAccess-backed regional expansion tripling East African oxygen output), March 20, 2025.</t>
  </si>
  <si>
    <t>$22 million</t>
  </si>
  <si>
    <t>Unitaid and partners expand Africa's first regional oxygen production network into Tanzania</t>
  </si>
  <si>
    <t>https://www.clintonhealthaccess.org/news/unitaid-and-partners-expand-africas-first-regional-oxygen-production-network-into-tanzania/</t>
  </si>
  <si>
    <t>March 20, 2025</t>
  </si>
  <si>
    <t>Vodacom Tanzania</t>
  </si>
  <si>
    <t>Dar es Salaam, Tanzania (parent: Vodacom Group, Johannesburg, South Africa)</t>
  </si>
  <si>
    <t>Tanzania's largest telecom operator by subscribers, part of the pan-African Vodacom Group, running mobile network, 4G/5G and M-Pesa financial services infrastructure nationwide.</t>
  </si>
  <si>
    <t>Committed over $100 million to network/IT modernization (thousands of sites upgraded, M-Pesa platform improvements, expanded 4G) as part of its Vision 2030 strategy - one of the largest infrastructure investments in its 25-year history, announced September 16, 2025.</t>
  </si>
  <si>
    <t>$100+ million</t>
  </si>
  <si>
    <t>Vodacom Tanzania unveils one of its biggest investments in history: $100 million in infrastructure</t>
  </si>
  <si>
    <t>https://www.thecitizen.co.tz/tanzania/business/vodacom-tanzania-unveils-one-of-its-biggest-investments-in-history-100-million-in-infrastructure-5194710</t>
  </si>
  <si>
    <t>September 16, 2025</t>
  </si>
  <si>
    <t>Wingu Africa</t>
  </si>
  <si>
    <t>Dar es Salaam, Tanzania (regional data centre operator)</t>
  </si>
  <si>
    <t>Operates Tanzania's most-interconnected data centre (13 operators), a Tier 3 carrier-neutral facility in the Mbezi Industrial Area, Dar es Salaam, serving cloud, fintech and AI workloads.</t>
  </si>
  <si>
    <t>Broke ground on a phase-two expansion adding 80 high-density racks (110 total) and scaling toward 3MW capacity, a $50 million investment, groundbreaking week of March 20, 2025.</t>
  </si>
  <si>
    <t>Tanzania's digital shift gathers pace with $50 million data centre</t>
  </si>
  <si>
    <t>https://www.thecitizen.co.tz/tanzania/news/national/tanzania-s-digital-shift-gathers-pace-with-50-million-data-centre-4970620</t>
  </si>
  <si>
    <t>March 19, 2025</t>
  </si>
  <si>
    <t>Arab Contractors &amp; Elsewedy Electric (Egyptian consortium)</t>
  </si>
  <si>
    <t>Cairo, Egypt</t>
  </si>
  <si>
    <t>Egyptian state-linked construction firm (Arab Contractors) and listed electrical engineering group (Elsewedy Electric, EGX: SWDY) jointly delivered Tanzania's largest-ever infrastructure project.</t>
  </si>
  <si>
    <t>Completed and handed over the 2,115MW Julius Nyerere Hydropower Project (Rufiji District) - a TZS 7.45 trillion (~$3.35B) domestically financed mega-dam - inaugurated August 22, 2026, after construction from 2019.</t>
  </si>
  <si>
    <t>~$3.35 billion (TZS 7.452 trillion)</t>
  </si>
  <si>
    <t>Tanzania Electricity Surplus Hits 2,375 MW As Julius Nyerere Hydropower Project Is Officially Launched</t>
  </si>
  <si>
    <t>https://www.tanzaniainvest.com/energy/jnhpp-julius-nyerere-hydropower-project-launch</t>
  </si>
  <si>
    <t>August 22, 2026</t>
  </si>
  <si>
    <t>China Civil Engineering Construction Corporation (CCECC) &amp; China Railway 15th Bureau</t>
  </si>
  <si>
    <t>Chinese state-owned construction majors active across multiple Tanzanian transport infrastructure projects, including bridges and rail works under the Belt and Road framework.</t>
  </si>
  <si>
    <t>Completed the Magufuli Bridge, a 4.66km dual-carriageway bridge spanning southern Lake Victoria replacing a ferry crossing, officially opened to traffic June 19, 2025, after 5 years of construction.</t>
  </si>
  <si>
    <t>Magufuli Bridge opens to traffic in Tanzania, amid accelerated China-Africa trade and economic cooperation</t>
  </si>
  <si>
    <t>https://www.globaltimes.cn/page/202506/1336592.shtml</t>
  </si>
  <si>
    <t>June 19, 2025</t>
  </si>
  <si>
    <t>Yapi Merkezi</t>
  </si>
  <si>
    <t>Istanbul, Turkey</t>
  </si>
  <si>
    <t>Turkish rail infrastructure contractor building the majority of Tanzania's Standard Gauge Railway (SGR) across multiple lots, its largest single project portfolio in Africa.</t>
  </si>
  <si>
    <t>Secured a $2.2 billion Standard Chartered-arranged syndicated loan (part of a $2.33bn package with export credit agencies) to finance SGR Lots 3 and 4 (Makutupora-Tabora-Isaka), signing scheduled April 28, 2026.</t>
  </si>
  <si>
    <t>$2.2 billion (loan facility)</t>
  </si>
  <si>
    <t>Tanzania SGR Project by Yapi Merkezi Secures $2.2bn Loan from Standard Chartered</t>
  </si>
  <si>
    <t>https://constructionreviewonline.com/tanzania-sgr-project-by-yapi-merkezi-secures-2-2bn-loan-from-standard-chartered/</t>
  </si>
  <si>
    <t>April 2026</t>
  </si>
  <si>
    <t>Itracom Fertilizers Uganda-SMC Ltd</t>
  </si>
  <si>
    <t>Bujumbura, Burundi (Itracom Group, regional East African conglomerate)</t>
  </si>
  <si>
    <t>Itracom already operates a 350,000-tonne fertilizer plant in Burundi and a 1-million-tonne facility in Tanzania; Uganda is its newest East African production base.</t>
  </si>
  <si>
    <t>Signed agreement with the Ugandan government to build a US$180 million organic fertilizer factory on 133 acres at Kampiringisa, with 250,000 tonnes/year capacity, announced August 21, 2025.</t>
  </si>
  <si>
    <t>US$180 million</t>
  </si>
  <si>
    <t>Itracom Fertilizer Signs Landmark Agreement to Establish Organic Fertilizer Factory in Uganda worth US$180million</t>
  </si>
  <si>
    <t>https://www.agriculture.go.ug/2025/08/21/itracom-fertilizer-signs-landmark-agreement-to-establish-organic-fertilizer-factory-in-uganda-worth-us180million/</t>
  </si>
  <si>
    <t>August 21, 2025</t>
  </si>
  <si>
    <t>Roofings Limited</t>
  </si>
  <si>
    <t>Uganda's largest indigenous steel manufacturer, with plants in Namanve and other sites producing roofing sheets, pipes and steel products distributed across East Africa.</t>
  </si>
  <si>
    <t>President Museveni inaugurated a new Phase IV cold-rolling, galvanising and colour-coating steel complex at Namanve, doubling cold-rolled capacity to 300,000 tonnes/year, August 2026.</t>
  </si>
  <si>
    <t>US$120 million</t>
  </si>
  <si>
    <t>President Museveni inaugurates $120 million Roofings steel complex</t>
  </si>
  <si>
    <t>https://ugandainvest.go.ug/president-museveni-inaugurates-120-million-roofings-steel-complex/</t>
  </si>
  <si>
    <t>Yaobai International Holding (West China Cement)</t>
  </si>
  <si>
    <t>China (Xi'an/Shaanxi-based West China Cement group)</t>
  </si>
  <si>
    <t>New entrant to Uganda via a purpose-built clinker/cement complex targeting Ugandan, South Sudanese, western Kenyan and eastern DRC markets.</t>
  </si>
  <si>
    <t>President Museveni commissioned the Yaobai cement clinker factory at Nanduget, Moroto District (Karamoja), with capacity of up to 2 million tonnes of clinker and 3 million tonnes of cement annually, creating 3,500+ jobs, April 24, 2026.</t>
  </si>
  <si>
    <t>Over US$300 million</t>
  </si>
  <si>
    <t>Uganda Moves to Cut Clinker Importation as President Museveni Commissions Yaobai Factory</t>
  </si>
  <si>
    <t>https://statehouse.go.ug/uganda-moves-to-cut-clinker-importation-as-president-museveni-commissions-yaobai-factory/</t>
  </si>
  <si>
    <t>April 24, 2026</t>
  </si>
  <si>
    <t>Gulftainer Co. Ltd</t>
  </si>
  <si>
    <t>Sharjah, UAE</t>
  </si>
  <si>
    <t>New entrant to Uganda, proposing to develop and operate the Bukasa Inland Port (Mukono District) in partnership with the Sharjah Chamber of Commerce and Industry.</t>
  </si>
  <si>
    <t>Met President Museveni to advance plans for developing the Bukasa Inland Port on Lake Victoria for cargo storage, customs clearance and consolidation serving Kenya, South Sudan and Sudan corridors; first-phase finalisation targeted within 6 months, reported December 15, 2025.</t>
  </si>
  <si>
    <t>Museveni Supports UAE Investors' Plan for Bukasa Inland Port to Boost Uganda's Trade</t>
  </si>
  <si>
    <t>https://sunrise.ug/business/202512/museveni-supports-uae-investors-plan-for-bukasa-inland-port-to-boost-uganda-s-trade</t>
  </si>
  <si>
    <t>Uganda Airlines (Uganda National Airlines Company)</t>
  </si>
  <si>
    <t>Entebbe, Uganda</t>
  </si>
  <si>
    <t>Uganda's national carrier, based at Entebbe International Airport, expanding both passenger and cargo operations to position Entebbe as an East/Central Africa aviation and logistics gateway.</t>
  </si>
  <si>
    <t>Signed a major fleet-expansion commitment with Boeing including 767 and 737 Converted Freighters for cargo, alongside 787-9 and 737 MAX passenger jets - the airline's largest expansion since its 2019 revival; announced June 18, 2026.</t>
  </si>
  <si>
    <t>~UGX 3.7 trillion (~US$985 million, full fleet order)</t>
  </si>
  <si>
    <t>Uganda Airlines Strengthens Cargo Ambitions with Addition of Two Boeing Converted Freighters</t>
  </si>
  <si>
    <t>https://cargonewswire.com/uganda-airlines-strengthens-cargo-ambitions-with-addition-of-two-boeing-converted-freighters/</t>
  </si>
  <si>
    <t>June 18, 2026</t>
  </si>
  <si>
    <t>China Town Uganda</t>
  </si>
  <si>
    <t>China</t>
  </si>
  <si>
    <t>Entered the Ugandan market in September 2024 and has grown to four Kampala-area stores within about two years, part of a wider China Town retail chain footprint in Africa.</t>
  </si>
  <si>
    <t>Opening its fourth Kampala store, in Kabalagala (Makindye Division), after prior outlets at Forest Mall, Akamwesi Mall and Freedom City Mall; reported August 25, 2026.</t>
  </si>
  <si>
    <t>China Town Uganda to Open Fourth Store in Kabalagala</t>
  </si>
  <si>
    <t>https://www.pulse.ug/story/china-town-uganda-kabalagala-new-store-kampala-2026082506490716942</t>
  </si>
  <si>
    <t>August 25, 2026</t>
  </si>
  <si>
    <t>Vivo Energy Uganda (Shell-branded fuels/retail)</t>
  </si>
  <si>
    <t>London, UK / Amsterdam (Vitol-Helios joint venture)</t>
  </si>
  <si>
    <t>Operates the Shell-branded fuel retail network across Uganda alongside operations in over a dozen African markets.</t>
  </si>
  <si>
    <t>Commissioned 10 new Shell service stations (incl. Kitetika, Kitemu, Masanafu), bringing its Uganda network to 191 sites, and unveiled Shell's refreshed brand identity with MTN-partnered CCTV across all stations, November 2024.</t>
  </si>
  <si>
    <t>Vivo Energy Expands Network With 10 New Service Stations, Unveils The New Look For Shell In Uganda</t>
  </si>
  <si>
    <t>https://businessfocus.co.ug/vivo-energy-expands-network-with-10-new-service-stations-unveils-the-new-look-for-shell-in-uganda/</t>
  </si>
  <si>
    <t>Quality Chemicals Limited (Cipla Quality Chemicals Industries Ltd)</t>
  </si>
  <si>
    <t>Kampala, Uganda (joint venture with Cipla Ltd, Mumbai, India)</t>
  </si>
  <si>
    <t>Uganda's largest pharmaceutical manufacturer, producing 25 registered antiretroviral, antimalarial and other essential medicines from two existing facilities, supplying the wider East African region.</t>
  </si>
  <si>
    <t>Broke ground on a new manufacturing plant at Luzira Industrial and Business Park to add TB, sickle-cell and injectable production lines, reported July 16, 2026, on the company's 20th anniversary.</t>
  </si>
  <si>
    <t>Ugandan pharma company Quality Chemicals is expanding its manufacturing capacity</t>
  </si>
  <si>
    <t>https://ugandainvest.go.ug/ugandan-pharma-company-quality-chemicals-is-expanding-its-manufacturing-capacity/</t>
  </si>
  <si>
    <t>July 16, 2026</t>
  </si>
  <si>
    <t>MTN Uganda</t>
  </si>
  <si>
    <t>Johannesburg, South Africa (MTN Group)</t>
  </si>
  <si>
    <t>Uganda's largest mobile network operator, part of the pan-African MTN Group footprint covering the wider East African region.</t>
  </si>
  <si>
    <t>Launched Uganda's first 5G network and industrial 5G use case, backed by a UGX 95.4 billion (~US$25.4 million) investment via its five-year Huawei modernisation partnership; live from early-to-May 2023.</t>
  </si>
  <si>
    <t>UGX 95.4 billion (~US$25.4 million)</t>
  </si>
  <si>
    <t>MTN Uganda launches first 5G network, pioneering high-speed connectivity in the country</t>
  </si>
  <si>
    <t>https://www.techloy.com/mtn-launches-first-5g-network-in-uganda/</t>
  </si>
  <si>
    <t>Raxio Group (Raxio Uganda)</t>
  </si>
  <si>
    <t>Kampala, Uganda (pan-African group backed by Roha Group and Meridiam)</t>
  </si>
  <si>
    <t>Operates Uganda's first Tier III-certified, carrier-neutral data centre at Namanve/KIBP (opened 2021), alongside facilities in Ethiopia, Mozambique, DRC, Cote d'Ivoire and Angola.</t>
  </si>
  <si>
    <t>Raised total committed capital to US$380 million (incl. $100M from IFC) to fund continued African data-centre expansion, reporting 6x power-capacity contracting growth in H1 2026 vs H1 2025; announced July 13, 2026.</t>
  </si>
  <si>
    <t>US$380 million (group-wide committed capital)</t>
  </si>
  <si>
    <t>Raxio Tops $380 Million in Committed Capital as African Data Center Demand Surges</t>
  </si>
  <si>
    <t>https://convergedigest.com/raxio-tops-380-million-in-committed-capital-as-african-data-center-demand-surges/</t>
  </si>
  <si>
    <t>July 13, 2026</t>
  </si>
  <si>
    <t>China Communications Construction Company (CCCC)</t>
  </si>
  <si>
    <t>Belt and Road-financed contractor executing Uganda's flagship Entebbe International Airport modernisation, alongside other Ugandan road and infrastructure contracts.</t>
  </si>
  <si>
    <t>Completed a new cargo terminal (doubling capacity to 100,000 tonnes/year) at Entebbe International Airport as part of a broader US$200 million airport modernisation programme (passenger terminal/runway work continuing into 2024).</t>
  </si>
  <si>
    <t>US$200 million (full modernisation programme)</t>
  </si>
  <si>
    <t>China Communications delivers trade-boosting cargo terminal in Uganda</t>
  </si>
  <si>
    <t>https://www.globalconstructionreview.com/china-communications-delivers-trade-boosting-cargo-terminal-in-uganda/</t>
  </si>
  <si>
    <t>2022 (programme ongoing through 2024)</t>
  </si>
  <si>
    <t>Yapi Merkezi Insaat</t>
  </si>
  <si>
    <t>Contracted by the Ugandan government as main contractor for the Malaba-Kampala Standard Gauge Railway, its flagship Uganda infrastructure project.</t>
  </si>
  <si>
    <t>President Museveni launched construction of the 273km Malaba-Kampala Standard Gauge Railway (via Tororo, Jinja, Mukono etc.), expected complete within 48 months; groundbreaking November 21, 2024.</t>
  </si>
  <si>
    <t>Project valued at ~UGX 10.8 trillion (~US$3 billion) per Ugandan government reporting</t>
  </si>
  <si>
    <t>President Museveni Launches Construction Of Malaba-Kampala Standard Gauge Railway</t>
  </si>
  <si>
    <t>https://statehouse.go.ug/president-museveni-launches-construction-of-malaba-kampala-standard-gauge-railway/</t>
  </si>
  <si>
    <t>November 21, 2024</t>
  </si>
  <si>
    <t>First Quantum Minerals (Kansanshi Mining plc)</t>
  </si>
  <si>
    <t>Vancouver, Canada</t>
  </si>
  <si>
    <t>Operates the Kansanshi copper mine near Solwezi in Zambia's North-Western Province, one of Africa's largest copper mines.</t>
  </si>
  <si>
    <t>Commissioned the Kansanshi S3 expansion on 19 August 2025 — a new 25 mtpa sulphide processing plant that extends mine life to 2044.</t>
  </si>
  <si>
    <t>$1.25 billion (C$1.73 billion)</t>
  </si>
  <si>
    <t>Kansanshi S3: Zambia's biggest copper investment in a decade</t>
  </si>
  <si>
    <t>https://www.mining-technology.com/analysis/kansanshi-s3-zambia-copper-investment/</t>
  </si>
  <si>
    <t>Africa Global Logistics (AGL)</t>
  </si>
  <si>
    <t>Marseille, France</t>
  </si>
  <si>
    <t>Newly launched in-country Zambia operations offering freight forwarding, warehousing, transportation, customs brokerage and supply-chain management.</t>
  </si>
  <si>
    <t>Formally launched/rebranded its Zambia operations on 27 March 2024.</t>
  </si>
  <si>
    <t>Africa Global Logistics has announced its launch in Zambia, which is set to transform the transport and logistics landscape in the region</t>
  </si>
  <si>
    <t>https://zambiatransportandlogistics.com/2024/03/27/africa-global-logistics-has-announced-its-launch-in-zambia-which-is-set-to-transform-the-transport-and-logistics-landscape-in-the-region/</t>
  </si>
  <si>
    <t>2024-03-27</t>
  </si>
  <si>
    <t>Real Estate Investments Zambia Plc (REIZ)</t>
  </si>
  <si>
    <t>Lusaka, Zambia</t>
  </si>
  <si>
    <t>Zambian-listed property company that owns and operates retail malls in Lusaka.</t>
  </si>
  <si>
    <t>Completed a US$65 million acquisition of three Lusaka shopping malls (Acacia Park, Jacaranda Mall, Lewanika Mall) in November 2023.</t>
  </si>
  <si>
    <t>$65 million</t>
  </si>
  <si>
    <t>REIZ Plc completes US$65mn acquisition of Zambia malls</t>
  </si>
  <si>
    <t>https://www.capitalmarketsafrica.net/p/reiz-plc-usd65mn-acquisition-zambia-malls</t>
  </si>
  <si>
    <t>2023-11</t>
  </si>
  <si>
    <t>Akums Drugs and Pharmaceuticals Limited</t>
  </si>
  <si>
    <t>Haridwar / New Delhi, India</t>
  </si>
  <si>
    <t>New market entrant establishing a majority-owned (51%) joint-venture pharmaceutical manufacturing plant with the Government of Zambia.</t>
  </si>
  <si>
    <t>Announced 23-24 August 2025 a $50M JV to build a plant producing tablets, capsules, liquids, injectables and beta-lactams, targeted for Q3 FY28.</t>
  </si>
  <si>
    <t>Akums Drugs Partners with Zambian Government to Establish $50 Million Pharmaceutical Manufacturing Facility</t>
  </si>
  <si>
    <t>https://trial.medpath.com/news/583efb47e0bfe9f8/akums-drugs-partners-with-zambian-government-to-establish-50-million-pharmaceutical-manufacturing-facility</t>
  </si>
  <si>
    <t>Dangote Cement Zambia</t>
  </si>
  <si>
    <t>Operates the $450M Masaita cement plant near Ndola (1.5 Mt/yr capacity).</t>
  </si>
  <si>
    <t>Announced on 24 June 2024 it would double its Zambia investment to roughly $900M by building a second cement plant.</t>
  </si>
  <si>
    <t>$900 million (combined, doubled from initial $450M)</t>
  </si>
  <si>
    <t>Dangote ramps up investment in Zambia with second plant</t>
  </si>
  <si>
    <t>https://www.cemnet.com/News/story/177232/dangote-ramps-up-investment-in-zambia-with-second-plant.html</t>
  </si>
  <si>
    <t>2024-06-24</t>
  </si>
  <si>
    <t>Dinson Iron and Steel Company (DISCO)</t>
  </si>
  <si>
    <t>Wenzhou/Shanghai, China (Tsingshan Holding Group)</t>
  </si>
  <si>
    <t>Built and operates an integrated iron-and-steel plant at Manhize, Chirumhanzu District, Zimbabwe.</t>
  </si>
  <si>
    <t>On 14 August 2025 Zimbabwe's ZIDA formally designated the Manhize facility a Special Economic Zone, on top of ~$1.5bn already invested.</t>
  </si>
  <si>
    <t>$1.5 billion</t>
  </si>
  <si>
    <t>Zimbabwe Grants Special Economic Zone Status to Manhize Steel Project</t>
  </si>
  <si>
    <t>https://southernafricantimes.com/zimbabwe-grants-special-economic-zone-status-to-manhize-steel-project/</t>
  </si>
  <si>
    <t>2025-08-14</t>
  </si>
  <si>
    <t>Prospect Lithium Zimbabwe (PLZ)</t>
  </si>
  <si>
    <t>Hangzhou, China (Zhejiang Huayou Cobalt)</t>
  </si>
  <si>
    <t>Operates lithium mining and concentration operations in Zimbabwe, currently producing about 400,000 t/yr of spodumene and petalite concentrate.</t>
  </si>
  <si>
    <t>As of 20 October 2025, PLZ's new lithium sulphate processing plant (60,000 t/yr design capacity) was 75% complete, commissioning expected end-2025.</t>
  </si>
  <si>
    <t>Zimbabwe: Prospect Targets Doubling Revenue - As Lithium Sulphate Plant Nears Completion</t>
  </si>
  <si>
    <t>https://allafrica.com/stories/202510200021.html</t>
  </si>
  <si>
    <t>2025-10-20</t>
  </si>
  <si>
    <t>Simbisa Brands Limited</t>
  </si>
  <si>
    <t>Harare, Zimbabwe</t>
  </si>
  <si>
    <t>Zimbabwe-founded, ZSE-listed QSR operator (Chicken Inn, Pizza Inn, Creamy Inn) with its largest single-country network (332 outlets) in Zimbabwe.</t>
  </si>
  <si>
    <t>On 5 December 2024 announced plans to open 31 new outlets and refurbish 44 stores by fiscal year-end 2025.</t>
  </si>
  <si>
    <t>Simbisa Brands to add 31 stores, exceeding 750 by fiscal year-end 2025</t>
  </si>
  <si>
    <t>https://www.billionaires.africa/2024/12/05/simbisa-brands-to-add-31-stores-exceeding-750-by-fiscal-year-end-2025/</t>
  </si>
  <si>
    <t>Dandemutande</t>
  </si>
  <si>
    <t>Zimbabwean ICT/telecoms provider already operating data centres in Zimbabwe and South Africa.</t>
  </si>
  <si>
    <t>On 26 February 2025 announced a $15M Tier III carrier-neutral data centre under the ITU Partner2Connect programme, targeted for completion by June 2026.</t>
  </si>
  <si>
    <t>$15 million</t>
  </si>
  <si>
    <t>Zimbabwean IT provider Dandemutande plans $15m data center</t>
  </si>
  <si>
    <t>https://www.datacenterdynamics.com/en/news/zimbabwean-it-provider-dandemutande-plans-15m-data-center/</t>
  </si>
  <si>
    <t>2025-02-26</t>
  </si>
  <si>
    <t>West Property Group (with McCormick Property Development Group)</t>
  </si>
  <si>
    <t>Zimbabwean property developer behind the Millennium City and Pokugara developments in Harare.</t>
  </si>
  <si>
    <t>Announced on 29 August 2024 a $100M 'Mall of Zimbabwe' project in Borrowdale, Harare, planned as the country's largest mall.</t>
  </si>
  <si>
    <t>$100 million</t>
  </si>
  <si>
    <t>Construction of exquisite Mall of Zimbabwe to start Q2,2025</t>
  </si>
  <si>
    <t>https://businesstimes.co.zw/construction-of-exquisite-mall-of-zimbabwe-to-start-q22025/</t>
  </si>
  <si>
    <t>2024-08-29</t>
  </si>
  <si>
    <t>Project Profile</t>
  </si>
  <si>
    <t>Status</t>
  </si>
  <si>
    <t>Project Name</t>
  </si>
  <si>
    <t>Type</t>
  </si>
  <si>
    <t>Location</t>
  </si>
  <si>
    <t>Operator / Developer</t>
  </si>
  <si>
    <t>Scale / Capacity</t>
  </si>
  <si>
    <t>Port of Bujumbura Modernization (Lake Tanganyika Transport Corridor Development Project, Phase I)</t>
  </si>
  <si>
    <t>Port</t>
  </si>
  <si>
    <t>Bujumbura, Burundi</t>
  </si>
  <si>
    <t>Government of Burundi, financed by African Development Bank Group and European Union</t>
  </si>
  <si>
    <t>Construction commenced August 17, 2023, with a 24-month completion timeline; project rehabilitates port equipment, access roads and staff capacity to establish Bujumbura as a Lake Tanganyika regional trade hub.</t>
  </si>
  <si>
    <t>€79 million total (€23.4M AfDB, €29M EU, €2M Government of Burundi)</t>
  </si>
  <si>
    <t>Burundi: the Port of Bujumbura will soon be renovated and modernized thanks to funding from the African Development Bank Group and the European Union</t>
  </si>
  <si>
    <t>https://www.afdb.org/en/news-and-events/press-releases/burundi-port-bujumbura-will-soon-be-renovated-and-modernized-thanks-funding-african-development-bank-group-and-european-union-63941</t>
  </si>
  <si>
    <t>2023-08-25</t>
  </si>
  <si>
    <t>Maritime Corridor and Regional Trade Facilitation Project</t>
  </si>
  <si>
    <t>Moroni, Mutsamudu and Mohéli, Comoros</t>
  </si>
  <si>
    <t>Government of the Union of the Comoros, financed by the African Development Bank Group and co-financiers</t>
  </si>
  <si>
    <t>Officially launched October 27, 2025, in Moroni (press release October 29, 2025); aims to modernize port infrastructure across the islands and position Comoros as an Africa-Asia logistics hub.</t>
  </si>
  <si>
    <t>$137 million total ($135M African Development Fund grant + $2M Transition Support Fund), with over $110M additional co-financing from the World Bank, Islamic Development Bank, AFD, EU and EIB</t>
  </si>
  <si>
    <t>Union of the Comoros: Launch of the maritime corridor project supported by the African Development Bank Group to the tune of $137 million</t>
  </si>
  <si>
    <t>https://www.afdb.org/en/news-and-events/press-releases/union-comoros-launch-maritime-corridor-project-supported-african-development-bank-group-tune-137-million-88185</t>
  </si>
  <si>
    <t>2025-10-29</t>
  </si>
  <si>
    <t>Port of Moroni Deep-Water Port Redevelopment</t>
  </si>
  <si>
    <t>Moroni, Grande Comore, Comoros</t>
  </si>
  <si>
    <t>China Road and Bridge Corporation (contracted); Government of Comoros</t>
  </si>
  <si>
    <t>Commercial contract signed March 2018 for dredging and redevelopment; as of the most recent available reporting (June 2022), construction work had reportedly not yet commenced.</t>
  </si>
  <si>
    <t>$165 million (contracted)</t>
  </si>
  <si>
    <t>Will Comoros Be China's Next "Djibouti" In Indian Ocean Region?</t>
  </si>
  <si>
    <t>https://channel16.dryadglobal.com/will-comoros-be-chinas-next-djibouti-in-indian-ocean-region</t>
  </si>
  <si>
    <t>2022-06-10</t>
  </si>
  <si>
    <t>Djibouti International Free Trade Zone (DIFTZ)</t>
  </si>
  <si>
    <t>SEZ</t>
  </si>
  <si>
    <t>Djibouti City, Djibouti</t>
  </si>
  <si>
    <t>Djibouti Ports &amp; Free Zones Authority / Great Horn Investment Holding, with China Merchants Group</t>
  </si>
  <si>
    <t>Zone established 2015 (43.5 sq km) and operational since 2018; major expansion phase agreed January 8, 2021.</t>
  </si>
  <si>
    <t>43.5 sq km; $3 billion expansion agreement (2021); $513 million initial phase (2020)</t>
  </si>
  <si>
    <t>Doraleh Port</t>
  </si>
  <si>
    <t>Doraleh, Djibouti</t>
  </si>
  <si>
    <t>Djibouti Ports &amp; Free Zones Authority, with Egyptian state-linked port-development firms</t>
  </si>
  <si>
    <t>Operational since prior expansions; Egypt and Djibouti finalized a deal (December 31, 2025) to expand port capacity, add warship berths, a solar power station and a logistics centre.</t>
  </si>
  <si>
    <t>Financial figures not disclosed; scope includes capacity expansion, solar power station and new logistics centre</t>
  </si>
  <si>
    <t>Egypt finalises deal to develop Djibouti's port in bid to pressure Ethiopia over Nile dam</t>
  </si>
  <si>
    <t>https://www.thenationalnews.com/news/mena/2025/12/31/egypt-finalises-deal-to-develop-djiboutis-port-in-bid-to-pressure-ethiopia-over-nile-dam/</t>
  </si>
  <si>
    <t>2025-12-31</t>
  </si>
  <si>
    <t>PAIX Djibouti Data Centre</t>
  </si>
  <si>
    <t>PAIX Data Centres, with the Djibouti Sovereign Wealth Fund</t>
  </si>
  <si>
    <t>Under development; joint venture announced May 16, 2024, first phase expected 2026.</t>
  </si>
  <si>
    <t>$50 million; ~50,000 sq ft net usable space; up to 5MW critical power</t>
  </si>
  <si>
    <t>Maluku Special Economic Zone (ZES Maluku)</t>
  </si>
  <si>
    <t>Maluku, ~70km northeast of Kinshasa, DRC</t>
  </si>
  <si>
    <t>DRC government / Maluku SEZ authority</t>
  </si>
  <si>
    <t>Operational (first industrial production since 2023); new river-dock export infrastructure inaugurated 13 March 2025.</t>
  </si>
  <si>
    <t>New river dock enabling export logistics; zone hosts beverage, agro-processing, timber and ceramics manufacturers</t>
  </si>
  <si>
    <t>DRC: Maluku Special Economic Zone Gets River Dock to Ease Exports</t>
  </si>
  <si>
    <t>https://www.ecofinagency.com/news-infrastructures/2003-53971-drc-maluku-special-economic-zone-gets-river-dock-to-ease-exports</t>
  </si>
  <si>
    <t>2025-03</t>
  </si>
  <si>
    <t>China-Congo Industrial City</t>
  </si>
  <si>
    <t>Industrial Park</t>
  </si>
  <si>
    <t>Maluku, DRC</t>
  </si>
  <si>
    <t>Sino-Congo Special Zone (SCSZ) consortium, with the DRC government</t>
  </si>
  <si>
    <t>Agreement signed / early development stage.</t>
  </si>
  <si>
    <t>US$12 billion mobilized for the first phase of construction</t>
  </si>
  <si>
    <t>DRC: $12 billion investment to build the China-Congo Industrial City in Maluku</t>
  </si>
  <si>
    <t>https://www.financialafrik.com/en/2025/10/27/drc-12-billion-investment-to-build-the-china-congo-industrial-city-in-maluku/</t>
  </si>
  <si>
    <t>2025-10-23</t>
  </si>
  <si>
    <t>Port of Assab modernization/investment prospect</t>
  </si>
  <si>
    <t>Assab, Eritrea</t>
  </si>
  <si>
    <t>Government of Eritrea; prospective investor Saudi Arabia</t>
  </si>
  <si>
    <t>Planned / under discussion.</t>
  </si>
  <si>
    <t>World Bank estimates ~US$200 million needed for modernization</t>
  </si>
  <si>
    <t>Saudi Arabia's Strategic Investments in Eritrea's Port of Assab Amid Rising Regional Tensions</t>
  </si>
  <si>
    <t>https://www.faf.ae/home/2025/3/10/saudi-arabias-strategic-investments-in-eritreas-port-of-assab-amid-rising-regional-tensions</t>
  </si>
  <si>
    <t>2025-03-10</t>
  </si>
  <si>
    <t>Dire Dawa Free Trade Zone</t>
  </si>
  <si>
    <t>Dire Dawa (~445km east of Addis Ababa)</t>
  </si>
  <si>
    <t>Industrial Parks Development Corporation (IPDC); industrial park built by CCECC</t>
  </si>
  <si>
    <t>Operational</t>
  </si>
  <si>
    <t>Ethiopia's first free trade zone; integrated with a dry port, rail station, and international airport</t>
  </si>
  <si>
    <t>Ethiopia's first free trade zone fully operational</t>
  </si>
  <si>
    <t>https://english.news.cn/africa/20241113/35d9f48af19345b9958690e377f61230/c.html</t>
  </si>
  <si>
    <t>November 13, 2024</t>
  </si>
  <si>
    <t>Gada Special Economic Zone (Lume Free Trade Zone)</t>
  </si>
  <si>
    <t>Lume, Oromia Region (~65km SE of Addis Ababa)</t>
  </si>
  <si>
    <t>China Civil Engineering Construction Corporation (CCECC) / China Railway Construction Corporation, with the Ethiopian government</t>
  </si>
  <si>
    <t>Under Construction</t>
  </si>
  <si>
    <t>Ethiopia's second free trade zone; planned focus on coffee processing, bamboo/timber processing, machinery manufacturing, and bio-pharmaceuticals (area not disclosed)</t>
  </si>
  <si>
    <t>Hawassa Industrial Park</t>
  </si>
  <si>
    <t>Hawassa, Sidama Region</t>
  </si>
  <si>
    <t>Industrial Parks Development Corporation (IPDC)</t>
  </si>
  <si>
    <t>150 hectares (expandable to 400 ha); ~22 tenant firms; textile/apparel-focused zero-liquid-discharge eco-industrial park; construction cost exceeded $300 million</t>
  </si>
  <si>
    <t>https://en.wikipedia.org/wiki/Hawassa_Industrial_Park</t>
  </si>
  <si>
    <t>Ongoing (park opened July 2016; TOYO Solar tenant added April 2025)</t>
  </si>
  <si>
    <t>Kilinto Industrial Park</t>
  </si>
  <si>
    <t>Addis Ababa (near Bole International Airport)</t>
  </si>
  <si>
    <t>279 hectares; designated national pharmaceutical manufacturing hub</t>
  </si>
  <si>
    <t>Kilinto Industry Park</t>
  </si>
  <si>
    <t>https://ipdc.gov.et/news/post/71/</t>
  </si>
  <si>
    <t>IPDC official profile (accessed 2025)</t>
  </si>
  <si>
    <t>Modjo Dry Port (Inland Container Depot)</t>
  </si>
  <si>
    <t>Modjo (~77km east of Addis Ababa, on the Ethio-Djibouti corridor)</t>
  </si>
  <si>
    <t>Ethiopian Shipping &amp; Logistics Services Enterprise (ESLSE); expansion contracted to CCECC</t>
  </si>
  <si>
    <t>Under Construction (expansion)</t>
  </si>
  <si>
    <t>Expansion adds 173 hectares (vs. 62 ha existing); capacity &gt;170,000 containers/year; $110M CCECC contract, backed by World Bank financing (initially $150M, later expanded)</t>
  </si>
  <si>
    <t>Chinese firm launches 110-mln-USD expansion project of Ethiopian dry port</t>
  </si>
  <si>
    <t>https://eng.yidaiyilu.gov.cn/p/177429.html</t>
  </si>
  <si>
    <t>June 2021 (project ongoing; World Bank update December 2025)</t>
  </si>
  <si>
    <t>Addis Ababa-Djibouti Railway</t>
  </si>
  <si>
    <t>Sebeta (Addis Ababa) to Port of Doraleh, Djibouti</t>
  </si>
  <si>
    <t>Ethio-Djibouti Standard Gauge Railway Share Company</t>
  </si>
  <si>
    <t>759km electrified standard-gauge line; designed capacity 20 million tonnes/year (24.9M gross)</t>
  </si>
  <si>
    <t>https://en.wikipedia.org/wiki/Addis_Ababa%E2%80%93Djibouti_Railway</t>
  </si>
  <si>
    <t>Operational since January 2018; national operator took over 2024</t>
  </si>
  <si>
    <t>Raxio Ethiopia Data Centre (ET1)</t>
  </si>
  <si>
    <t>Ethio ICT Park, Addis Ababa</t>
  </si>
  <si>
    <t>3MW IT capacity; 2,000 sqm facility with 800 racks; Tier III certified</t>
  </si>
  <si>
    <t>Dongo Kundu Special Economic Zone</t>
  </si>
  <si>
    <t>Dongo Kundu, Mombasa</t>
  </si>
  <si>
    <t>Kenya Ports Authority / Special Economic Zones Authority (financing backed by Afreximbank)</t>
  </si>
  <si>
    <t>~7,000 acres under application from 97 investors; Afreximbank has secured 500 acres for an integrated industrial park; targets 40,000+ jobs</t>
  </si>
  <si>
    <t>$1 Billion Dongo Kundu and Naivasha SEZs Investment to Spur Industrialisation and Create Jobs</t>
  </si>
  <si>
    <t>https://www.president.go.ke/1-billion-dongo-kundu-and-naivasha-sezs-investment-to-spur-industrialisation-and-create-jobs/</t>
  </si>
  <si>
    <t>February 28, 2025</t>
  </si>
  <si>
    <t>Mombasa Industrial Park SEZ (DP World / GulfCap Africa)</t>
  </si>
  <si>
    <t>Near Port of Mombasa (within 20km)</t>
  </si>
  <si>
    <t>DP World &amp; GulfCap Africa</t>
  </si>
  <si>
    <t>Planned</t>
  </si>
  <si>
    <t>222 hectares, to be developed in phases</t>
  </si>
  <si>
    <t>Naivasha Special Economic Zone</t>
  </si>
  <si>
    <t>Naivasha, Nakuru County</t>
  </si>
  <si>
    <t>Kenya Ports Authority / Special Economic Zones Authority</t>
  </si>
  <si>
    <t>Part of the same $1 billion (Sh128.5 billion) Dongo Kundu-Naivasha package; targeting 100,000 jobs</t>
  </si>
  <si>
    <t>Tatu Industrial Park</t>
  </si>
  <si>
    <t>Tatu City, Kiambu County</t>
  </si>
  <si>
    <t>Rendeavour (Tatu City)</t>
  </si>
  <si>
    <t>900 acres, with 50+ resident companies including Unilever, Copia Global and Dormans</t>
  </si>
  <si>
    <t>Tatu Industrial Park surges past 50-company milestone</t>
  </si>
  <si>
    <t>https://www.rendeavour.com/news/tatu-industrial-park-surges-past-50-company-milestone/</t>
  </si>
  <si>
    <t>Not specified (ongoing; reported 2019 milestone)</t>
  </si>
  <si>
    <t>Lamu Port</t>
  </si>
  <si>
    <t>Lamu, Kenya</t>
  </si>
  <si>
    <t>Kenya Ports Authority / LAPSSET Corridor Development Authority</t>
  </si>
  <si>
    <t>Operational (Phase 1)</t>
  </si>
  <si>
    <t>3 of a planned 32 berths operational; targeting 1.2 million TEUs by 2027</t>
  </si>
  <si>
    <t>Lamu Port Now Operational as Kenya Advances LAPSSET Vision</t>
  </si>
  <si>
    <t>https://capitalfm.africa/lamu-port-now-operational-as-kenya-advances-lapsset-vision/</t>
  </si>
  <si>
    <t>February 15-16, 2026</t>
  </si>
  <si>
    <t>Naivasha Inland Container Depot (Dry Port)</t>
  </si>
  <si>
    <t>Kenya Railways Corporation</t>
  </si>
  <si>
    <t>4,000 TEU handling capacity, linked to Port of Mombasa via the Standard Gauge Railway</t>
  </si>
  <si>
    <t>Naivasha depot operationalised to decongest Port of Mombasa</t>
  </si>
  <si>
    <t>https://www.the-star.co.ke/counties/rift-valley/2026-02-05-naivasha-depot-operationalised-to-decongest-mombasa-port</t>
  </si>
  <si>
    <t>February 5, 2026</t>
  </si>
  <si>
    <t>Olkaria Geothermal Data Centre (East Africa Cloud Region)</t>
  </si>
  <si>
    <t>Olkaria, Nakuru County</t>
  </si>
  <si>
    <t>G42 (building it to host Microsoft Azure's East Africa Cloud Region)</t>
  </si>
  <si>
    <t>Geothermal-powered facility; part of the $1 billion Microsoft-G42 digital ecosystem initiative, targeted operational within 24 months of the May 2024 signing</t>
  </si>
  <si>
    <t>Oracle Nairobi Cloud Region</t>
  </si>
  <si>
    <t>Oracle Corporation</t>
  </si>
  <si>
    <t>Oracle's second public cloud region in Africa (after South Africa), offering 100+ hyperscale cloud services</t>
  </si>
  <si>
    <t>Oracle Picks Kenya as Its Data Centre Site in East Africa</t>
  </si>
  <si>
    <t>https://techweez.com/2024/02/01/oracle-data-centre-kenya/</t>
  </si>
  <si>
    <t>February 1, 2024</t>
  </si>
  <si>
    <t>iXAfrica NBOX1 Data Centre</t>
  </si>
  <si>
    <t>Mombasa Road, Nairobi</t>
  </si>
  <si>
    <t>iXAfrica Data Centres (financing via Rand Merchant Bank; earlier $50M backing from Helios Investment Partners)</t>
  </si>
  <si>
    <t>Operational (expanding)</t>
  </si>
  <si>
    <t>17,300 sqm campus; expanding by 20MW to reach 22.5MW total IT capacity</t>
  </si>
  <si>
    <t>Kenya's iXAfrica secures financing for 20MW expansion to data center</t>
  </si>
  <si>
    <t>https://www.datacenterdynamics.com/en/news/kenyas-ixafrica-secures-financing-for-20mw-expansion-to-data-center/</t>
  </si>
  <si>
    <t>September 5, 2025</t>
  </si>
  <si>
    <t>Port d'Ehoala (Fort Dauphin/Taolagnaro)</t>
  </si>
  <si>
    <t>Fort Dauphin (Tôlanaro), Anosy region, southern Madagascar</t>
  </si>
  <si>
    <t>Rio Tinto QMM / Port d'Ehoala SA, with CrossBoundary Energy</t>
  </si>
  <si>
    <t>Operational since 2009; Ehoala Solar Park inaugurated 3 May 2024.</t>
  </si>
  <si>
    <t>8 MW solar park (14,640 panels)</t>
  </si>
  <si>
    <t>Rio Tinto QMM and CrossBoundary Energy Unveil Ehoala Solar Park in Madagascar</t>
  </si>
  <si>
    <t>https://solarquarter.com/2024/05/03/rio-tinto-qmm-and-crossboundary-energy-unveil-ehoala-solar-park-in-madagascar/</t>
  </si>
  <si>
    <t>2024-05-03</t>
  </si>
  <si>
    <t>Toamasina Port Extension (Phase 2) and MICTSL Concession Extension</t>
  </si>
  <si>
    <t>Toamasina (Tamatave), Madagascar</t>
  </si>
  <si>
    <t>SPAT, with terminal operator ICTSI via subsidiary MICTSL</t>
  </si>
  <si>
    <t>Phase 2 under construction, expected completion 2026; concession extended 15 years (2025-2040).</t>
  </si>
  <si>
    <t>US$639 million total; new 756m container berth, 15-hectare yard expansion</t>
  </si>
  <si>
    <t>ICTSI Madagascar terminal concession extended until 2040</t>
  </si>
  <si>
    <t>https://www.ictsi.com/press-releases/ictsi-madagascar-concession-extended</t>
  </si>
  <si>
    <t>2021-12-13</t>
  </si>
  <si>
    <t>Magwero Industrial Park (Lilongwe SEZ)</t>
  </si>
  <si>
    <t>Lilongwe, Malawi</t>
  </si>
  <si>
    <t>ARISE Integrated Industrial Platforms, with Afreximbank and the Government of Malawi</t>
  </si>
  <si>
    <t>Under construction; groundbreaking held 3 June 2024.</t>
  </si>
  <si>
    <t>417 hectares; US$300 million in Afreximbank financing</t>
  </si>
  <si>
    <t>Afreximbank, in partnership with Arise IIP and the Republic of Malawi, initiates construction of the Magwero Industrial Park</t>
  </si>
  <si>
    <t>https://www.afreximbank.com/afreximbank-in-partnership-with-arise-iip-and-the-republic-of-malawi-initiates-construction-of-the-magwero-industrial-park-in-lilongwe-an-integrated-industrial-park-set-to-accelerate-the-countr/</t>
  </si>
  <si>
    <t>2024-06-03</t>
  </si>
  <si>
    <t>SEZ and Dry Port, Area 55</t>
  </si>
  <si>
    <t>Area 55, north of Lilongwe, Malawi</t>
  </si>
  <si>
    <t>ARISE IIP (65% stake) with the Government of Malawi</t>
  </si>
  <si>
    <t>Development agreement signed; construction slated to start 2024, operations targeted from 2026.</t>
  </si>
  <si>
    <t>~US$150 million infrastructure investment</t>
  </si>
  <si>
    <t>ARISE IIP signs agreement with Government of Malawi for the construction of SEZ and dry port</t>
  </si>
  <si>
    <t>https://www.ariseiip.com/arise-iip-signs-development-agreement-with-government-of-malawi-to-construct-sez-and-dry-port/</t>
  </si>
  <si>
    <t>2024-02-21</t>
  </si>
  <si>
    <t>Malawi National Data Centre</t>
  </si>
  <si>
    <t>Blantyre, Malawi</t>
  </si>
  <si>
    <t>Government of Malawi (built by Huawei)</t>
  </si>
  <si>
    <t>Operational; launched 28 July 2022.</t>
  </si>
  <si>
    <t>Malawi's first national data centre; part of a backbone covering 36 sites and 1,386km of fibre</t>
  </si>
  <si>
    <t>Malawi launches national data center</t>
  </si>
  <si>
    <t>https://www.datacenterdynamics.com/en/news/malawi-launches-national-data-center/</t>
  </si>
  <si>
    <t>2022-07-28</t>
  </si>
  <si>
    <t>Rose Belle Pharmaceutical and Life Sciences Park</t>
  </si>
  <si>
    <t>Rose Belle, Mauritius</t>
  </si>
  <si>
    <t>Landscope (Mauritius) Ltd</t>
  </si>
  <si>
    <t>Tender/developer-selection phase as of March 2021.</t>
  </si>
  <si>
    <t>~56 arpents (23.6 hectares) of land earmarked</t>
  </si>
  <si>
    <t>Un parc pharmaceutique à Rose Belle</t>
  </si>
  <si>
    <t>https://www.business-magazine.mu/actualites/autres/un-parc-pharmaceutique-a-rose-belle/</t>
  </si>
  <si>
    <t>2021-03-26</t>
  </si>
  <si>
    <t>Port Louis Harbour Port Master Plan 2024 (incl. Island Container Terminal)</t>
  </si>
  <si>
    <t>Mauritius Ports Authority</t>
  </si>
  <si>
    <t>Active implementation; Master Plan approved 18 March 2025; priority works scheduled to begin 2027.</t>
  </si>
  <si>
    <t>Rs 56.3 billion (~US$1.2 billion) across seven projects</t>
  </si>
  <si>
    <t>Mauritius Port Master Plan 2024: Major developments underway to enhance Port Louis Harbour</t>
  </si>
  <si>
    <t>https://maritimafrica.com/en/mauritius-port-master-plan-2024-major-developments-underway-to-enhance-port-louis-harbour/</t>
  </si>
  <si>
    <t>2026-03-31</t>
  </si>
  <si>
    <t>Nacala Special Economic Zone (ZEEN)</t>
  </si>
  <si>
    <t>Nampula Province, Mozambique</t>
  </si>
  <si>
    <t>APIEX, IP (public)</t>
  </si>
  <si>
    <t>Operational since 2007; 194 authorized investment projects to date.</t>
  </si>
  <si>
    <t>1,539 km² zone; ~US$2.445 billion in approved investment</t>
  </si>
  <si>
    <t>Special Economic Zones in Mozambique</t>
  </si>
  <si>
    <t>https://www.mozambiqueexpert.com/en/mozambique-special-economic-zones/</t>
  </si>
  <si>
    <t>Port of Nacala Expansion / Nacala Logistics Corridor</t>
  </si>
  <si>
    <t>Nacala, Nampula province, Mozambique</t>
  </si>
  <si>
    <t>Government of Mozambique / CFM, within the Vale–Mitsui-backed Nacala Logistics Corridor</t>
  </si>
  <si>
    <t>International tender for port concession/expansion authorized 11 February 2026.</t>
  </si>
  <si>
    <t>Wider corridor investment ~US$4.5 billion</t>
  </si>
  <si>
    <t>Mozambique launches tender for Nacala port concession</t>
  </si>
  <si>
    <t>https://www.freightnews.co.za/article/mozambique-launches-tender-for-nacala-port-concession</t>
  </si>
  <si>
    <t>2026-02-13</t>
  </si>
  <si>
    <t>Kigali Special Economic Zone (KSEZ)</t>
  </si>
  <si>
    <t>Kigali (Gasabo district), Rwanda</t>
  </si>
  <si>
    <t>Rwanda Development Board (RDB)</t>
  </si>
  <si>
    <t>385 hectares across two phases (Phase 1: 159 ha fully occupied; Phase 2: 226 ha, ~70% occupied), ~150 resident companies, government targeting expansion to ~400 ha via new phases</t>
  </si>
  <si>
    <t>Rwanda: Kigali Special Economic Zone to Be Doubled in Size</t>
  </si>
  <si>
    <t>https://allafrica.com/stories/202303090418.html</t>
  </si>
  <si>
    <t>2023-03-09</t>
  </si>
  <si>
    <t>Bugesera Special Economic Zone (Bugesera Industrial Park)</t>
  </si>
  <si>
    <t>Bugesera District, Rwanda (~10km from Bugesera Airport, ~50km from Kigali)</t>
  </si>
  <si>
    <t>BSEZ Ltd (joint venture between the Government of Rwanda and ARISE Integrated Industrial Platforms)</t>
  </si>
  <si>
    <t>Under Construction (Phase 1 operational)</t>
  </si>
  <si>
    <t>335 hectares total ($100M project launched 2023); Phase 1 covers 75 hectares and is operational; $52M in fresh bank financing added August 2025, incl. $10M green financing</t>
  </si>
  <si>
    <t>Kigali Innovation City (KIC)</t>
  </si>
  <si>
    <t>Kigali Special Economic Zone, Gasabo District, Rwanda</t>
  </si>
  <si>
    <t>Government of Rwanda, Africa50 (lead financier/co-sponsor), Rwanda Development Board, and BADEA</t>
  </si>
  <si>
    <t>60 hectares; ~$300 million total project cost; targeting $150M in annual ICT exports, $300M+ in FDI, and 50,000+ jobs on completion; anchor tenants include Carnegie Mellon University Africa</t>
  </si>
  <si>
    <t>Groundbreaking: "Kigali Innovation City Will Foster Innovation On The African Continent" - PM Ngirente</t>
  </si>
  <si>
    <t>https://www.ktpress.rw/2024/09/groundbreaking-kigali-innovation-city-will-foster-innovation-on-the-african-continent-pm-ngirente/</t>
  </si>
  <si>
    <t>2024-09-10</t>
  </si>
  <si>
    <t>Kigali Logistics Platform (Masaka Dry Port / Inland Container Depot)</t>
  </si>
  <si>
    <t>Masaka, Kigali, Rwanda</t>
  </si>
  <si>
    <t>DP World (Dubai Ports World, UAE) under a 25-year concession with the Government of Rwanda</t>
  </si>
  <si>
    <t>East Africa's first inland dry port; ~30 hectares, 12,000 sqm container yard, 50,000 TEU/year capacity, 640,000 tonnes/year handling; approx. $35-80M total investment (Phase 1 &amp; 2)</t>
  </si>
  <si>
    <t>Rwanda closer to becoming a regional logistics hub with the launch of Kigali Logistics Platform</t>
  </si>
  <si>
    <t>https://rdb.rw/rwanda-closer-to-becoming-a-regional-logistics-hub-with-the-launch-of-kigali-logistics-platform/</t>
  </si>
  <si>
    <t>2019-10-21</t>
  </si>
  <si>
    <t>AGL Kigali Logistics Warehouse Extension</t>
  </si>
  <si>
    <t>Kigali Special Economic Zone, Rwanda</t>
  </si>
  <si>
    <t>5,000 sqm cold-chain-enabled warehouse extension, adding to AGL's existing 21,000 sqm across six sites; $10 million investment</t>
  </si>
  <si>
    <t>Africa Data Centres Kigali</t>
  </si>
  <si>
    <t>2MW of purpose-built IT load capacity; part of a $500 million pan-African, 10-data-centre rollout</t>
  </si>
  <si>
    <t>Bon Espoir Data Centre</t>
  </si>
  <si>
    <t>Mahé, Seychelles</t>
  </si>
  <si>
    <t>Operational (inaugurated).</t>
  </si>
  <si>
    <t>Seychelles' first Tier IV data centre</t>
  </si>
  <si>
    <t>Berbera Economic Zone (BEZ)</t>
  </si>
  <si>
    <t>Berbera, Somaliland</t>
  </si>
  <si>
    <t>DP World and Government of Somaliland</t>
  </si>
  <si>
    <t>Phase One operational (opened).</t>
  </si>
  <si>
    <t>Master plan of 1,200+ hectares; Phase One includes 10,000 sqm of pre-built warehousing</t>
  </si>
  <si>
    <t>DP World and Somaliland Government open Berbera Economic Zone</t>
  </si>
  <si>
    <t>https://www.dpworld.com/en/news/dp-world-somaliland-open-berbera-economic-zone</t>
  </si>
  <si>
    <t>2023-03-03</t>
  </si>
  <si>
    <t>Berbera Port Expansion</t>
  </si>
  <si>
    <t>DP World / Berbera Port Authority</t>
  </si>
  <si>
    <t>Operational, undergoing phased expansion; Phase 2 planned once utilization thresholds are met.</t>
  </si>
  <si>
    <t>Over USD 400 million invested since 2017; capacity raised from under 100,000 TEUs to 500,000 TEUs/year</t>
  </si>
  <si>
    <t>Can Somaliland's Berbera Port anchor African trade security?</t>
  </si>
  <si>
    <t>https://www.thenationalnews.com/business/2025/07/27/can-somalilands-berbera-port-anchor-african-trade-security/</t>
  </si>
  <si>
    <t>2025-07-27</t>
  </si>
  <si>
    <t>Bosaso Port Expansion</t>
  </si>
  <si>
    <t>Bosaso, Puntland, Somalia</t>
  </si>
  <si>
    <t>DP World / Puntland Ports Authority</t>
  </si>
  <si>
    <t>Phase 1 nearing/at completion as of 2023; Phase 2 planned for 2024.</t>
  </si>
  <si>
    <t>USD 366 million total planned investment</t>
  </si>
  <si>
    <t>DP World's $366M Bosaso port expansion in Somalia nears completion, minister reveals</t>
  </si>
  <si>
    <t>https://www.radiodalsan.com/dp-worlds-366m-bosaso-port-expansion-in-somalia-nears-completion-minister-reveals/</t>
  </si>
  <si>
    <t>2023-08-19</t>
  </si>
  <si>
    <t>Juba River Port Development Project</t>
  </si>
  <si>
    <t>Juba, South Sudan (River Nile)</t>
  </si>
  <si>
    <t>Government of South Sudan, funded by JICA</t>
  </si>
  <si>
    <t>Construction halted due to a land dispute; court case pending as of May 2024.</t>
  </si>
  <si>
    <t>USD 38 million JICA grant</t>
  </si>
  <si>
    <t>Juba River Port construction halted over land dispute</t>
  </si>
  <si>
    <t>https://www.sudanspost.com/juba-river-port-construction-halted-over-land-dispute/</t>
  </si>
  <si>
    <t>2024-05-27</t>
  </si>
  <si>
    <t>South Sudan Transport Sector Development Project</t>
  </si>
  <si>
    <t>Nationwide (Nile River corridor and road corridors)</t>
  </si>
  <si>
    <t>Government of South Sudan, supported by the World Bank</t>
  </si>
  <si>
    <t>Project appraisal/planning documentation stage.</t>
  </si>
  <si>
    <t>1,630-2,000 km of priority road corridors plus revival of Nile inland waterway transport via 9 river terminals</t>
  </si>
  <si>
    <t>https://documents1.worldbank.org/curated/en/099021825075534986/pdf/P177582-0dd9be28-fd9b-4fe4-83e0-93b06501ddb0.pdf</t>
  </si>
  <si>
    <t>2024-07</t>
  </si>
  <si>
    <t>Bagamoyo Eco Maritime City (BEMC) SEZ</t>
  </si>
  <si>
    <t>Zinga, Bagamoyo, Pwani Region (45km from Dar es Salaam)</t>
  </si>
  <si>
    <t>TISEZA (Tanzania Investment and Special Economic Zones Authority)</t>
  </si>
  <si>
    <t>Under Construction / Open to investors (Phase I launched)</t>
  </si>
  <si>
    <t>151 hectares Phase I Industrial Park (134 demarcated plots); part of a broader ~9,800-hectare Bagamoyo SEZ master plan near the planned Bagamoyo Mega Port</t>
  </si>
  <si>
    <t>Tanzania Investment Hits USD 3.16 Billion in Q4 2025, Four SEZs and Two PPPs Open to Investors</t>
  </si>
  <si>
    <t>https://www.tanzaniainvest.com/economy/tiseza-investment-bulletin-q4-2025</t>
  </si>
  <si>
    <t>June 30, 2026</t>
  </si>
  <si>
    <t>Buzwagi SEZ</t>
  </si>
  <si>
    <t>Kahama, Shinyanga Region (former Buzwagi Gold Mine site)</t>
  </si>
  <si>
    <t>TISEZA</t>
  </si>
  <si>
    <t>Open to investors</t>
  </si>
  <si>
    <t>1,333 hectares; on-site airport (1.5km runway), 60MW power substation, 3 million-litre water reserve; target sectors: mineral refining, mining equipment, agro-processing, EV/battery manufacturing</t>
  </si>
  <si>
    <t>Kwala SEZ</t>
  </si>
  <si>
    <t>Kibaha, Coast Region</t>
  </si>
  <si>
    <t>100 hectares (40.5 hectares initial launch), adjacent to Kwala Dry Port with direct SGR/metre-gauge rail connections; target sectors: textiles, pharma, motor vehicles, electronics, solar</t>
  </si>
  <si>
    <t>Tanzania Unveils Five Strategic Special Economic Zones to Propel Industrial Growth</t>
  </si>
  <si>
    <t>https://www.tiseza.go.tz/news/tanzania-unveils-five-strategic-special-economic-zones-to-propel-industrial-growth</t>
  </si>
  <si>
    <t>August 12, 2025</t>
  </si>
  <si>
    <t>Mgao Island Cargo Port</t>
  </si>
  <si>
    <t>Mgao Island, Mtwara Region</t>
  </si>
  <si>
    <t>China Harbour Engineering Company Limited (contractor); Government of Tanzania</t>
  </si>
  <si>
    <t>Under Construction (25% complete as of Dec 2025)</t>
  </si>
  <si>
    <t>TZS 435 billion budget; dedicated hazardous/bulk cargo terminal (coal, cement, chemicals, fertilizers) plus 17km access road; targeted completion July 2028</t>
  </si>
  <si>
    <t>Construction of Mgao Island Cargo Port in Mtwara Reaches 25% as Government Invests TZS 435B</t>
  </si>
  <si>
    <t>https://www.tanzaniainvest.com/transport/mgao-island-cargo-port-mtwara-construction-update</t>
  </si>
  <si>
    <t>December 2025</t>
  </si>
  <si>
    <t>Port of Dar es Salaam (DP World concession)</t>
  </si>
  <si>
    <t>Dar es Salaam</t>
  </si>
  <si>
    <t>DP World (30-year concession) with Tanzania Ports Authority</t>
  </si>
  <si>
    <t>Operational (under new concession)</t>
  </si>
  <si>
    <t>Handles the majority of Tanzania's seaborne cargo; targeting 30+ million tonnes/year capacity; $250M-$1B phased investment</t>
  </si>
  <si>
    <t>Kwala Dry Port</t>
  </si>
  <si>
    <t>Kibaha District, Coast Region (~90-105km from Dar es Salaam)</t>
  </si>
  <si>
    <t>Tanzania Ports Authority, Tanzania Railways Corporation, Tanzania Revenue Authority, DP World</t>
  </si>
  <si>
    <t>1,000+ hectares (phase one: 5 hectares); ~820 containers/day, 300,000 TEU annual capacity; connected to SGR</t>
  </si>
  <si>
    <t>President Samia Launches Kwala Dry Port and SGR Rail Freight Service</t>
  </si>
  <si>
    <t>https://www.tanzaniainvest.com/transport/kwala-dry-port-sgr-electric-freight-service</t>
  </si>
  <si>
    <t>July 31, 2025</t>
  </si>
  <si>
    <t>Standard Gauge Railway (SGR) - Lots 3 &amp; 4</t>
  </si>
  <si>
    <t>Makutupora-Tabora-Isaka corridor</t>
  </si>
  <si>
    <t>Tanzania Railways Corporation; contractor Yapi Merkezi</t>
  </si>
  <si>
    <t>Part of a 1,219km national SGR network; $2.2 billion Standard Chartered-arranged financing package; includes 3 stations, workshops, depot, electrification and signaling</t>
  </si>
  <si>
    <t>Wingu Africa Data Centre (Dar es Salaam)</t>
  </si>
  <si>
    <t>Mbezi Industrial Area, Dar es Salaam</t>
  </si>
  <si>
    <t>Operational (Phase 2 expansion underway)</t>
  </si>
  <si>
    <t>Tier 3, 110 racks post-expansion, scaling to 3MW capacity; 99.983% uptime SLA; interconnected with 13 network operators; $50 million phase-two investment</t>
  </si>
  <si>
    <t>Wingu.Africa breaks ground on data center expansion in Dar es Salaam, Tanzania</t>
  </si>
  <si>
    <t>https://www.datacenterdynamics.com/en/news/winguafrica-breaks-grounds-on-data-center-expansion-in-dar-es-salaam-tanzania/</t>
  </si>
  <si>
    <t>Entebbe International Airport Public Free Zone</t>
  </si>
  <si>
    <t>Entebbe International Airport</t>
  </si>
  <si>
    <t>Uganda Free Zones and Export Promotion Authority (UFZEPA)</t>
  </si>
  <si>
    <t>Public free zone for agro-processing, warehousing/bulking and light manufacturing exports (coffee, cocoa, horticulture priority); part of Uganda's 40+ licensed free-zone ecosystem attracting over US$2.1 billion cumulative investment</t>
  </si>
  <si>
    <t>Uganda Adopts Special Economic Zones Approach For Export Promotion</t>
  </si>
  <si>
    <t>https://softpower.ug/uganda-adopts-special-economic-zones-approach-for-export-promotion/</t>
  </si>
  <si>
    <t>December 13, 2025</t>
  </si>
  <si>
    <t>Kampala Industrial and Business Park (Namanve Industrial Park)</t>
  </si>
  <si>
    <t>Namanve, along Kampala-Jinja Highway</t>
  </si>
  <si>
    <t>Lagan DOTT Namanve Ltd (JV) / Uganda Investment Authority</t>
  </si>
  <si>
    <t>2,209 acres; over 400 operational factories; ~60% of contracted infrastructure works complete as of May 2025</t>
  </si>
  <si>
    <t>Namanve on course to become regional hub for trade and manufacturing</t>
  </si>
  <si>
    <t>https://observer.ug/business/namanve-on-course-to-become-regional-hub-for-trade-and-manufacturing/</t>
  </si>
  <si>
    <t>May 30, 2025</t>
  </si>
  <si>
    <t>Sino-Uganda Mbale Industrial Park</t>
  </si>
  <si>
    <t>Mbale City</t>
  </si>
  <si>
    <t>Tian Tang Group (Hebei Province, China)</t>
  </si>
  <si>
    <t>Hosts 40+ companies (smartphones, TVs, textiles, steel); ~10,000 workers daily; Hebei's first overseas state-level industrial park</t>
  </si>
  <si>
    <t>Sino-Uganda Mbale Industrial Park: Revolutionising Uganda's Manufacturing Sector</t>
  </si>
  <si>
    <t>https://sinoug.org/sino-uganda-mbale-industrial-park-revolutionising-ugandas-manufacturing-sector/</t>
  </si>
  <si>
    <t>Bukasa Inland Port</t>
  </si>
  <si>
    <t>Bukasa, Mukono District (Lake Victoria)</t>
  </si>
  <si>
    <t>Gulftainer Co. Ltd (Sharjah, UAE) / Government of Uganda</t>
  </si>
  <si>
    <t>Inland cargo port with storage, customs clearance and consolidation facilities; first phase targeted for finalisation within ~6 months of Dec 2025 talks</t>
  </si>
  <si>
    <t>Malaba-Kampala Standard Gauge Railway (SGR)</t>
  </si>
  <si>
    <t>Malaba to Kampala, via Tororo, Jinja, Mukono, Wakiso</t>
  </si>
  <si>
    <t>Uganda Railways Corporation (Government of Uganda); main contractor Yapi Merkezi (Turkey)</t>
  </si>
  <si>
    <t>273 km line; 25 million tonnes/year cargo capacity; ~48-month build timeline</t>
  </si>
  <si>
    <t>Raxio Uganda Data Centre</t>
  </si>
  <si>
    <t>Namanve/Kampala Industrial and Business Park, Kampala</t>
  </si>
  <si>
    <t>Uganda's first Tier III-certified, carrier-neutral facility, up to 400 racks colocation capacity</t>
  </si>
  <si>
    <t>Raxio opens Tier III data center in Uganda</t>
  </si>
  <si>
    <t>https://www.datacenterdynamics.com/en/news/raxio-opens-tier-iii-data-center-in-uganda/</t>
  </si>
  <si>
    <t>May 26, 2021 (opened); ongoing operations reported through 2025-2026</t>
  </si>
  <si>
    <t>Lusaka South Multi-Facility Economic Zone (LS-MFEZ)</t>
  </si>
  <si>
    <t>Lusaka South, Zambia</t>
  </si>
  <si>
    <t>Zambia Development Agency / LS-MFEZ Ltd</t>
  </si>
  <si>
    <t>Operational and expanding: 143 companies approved, 31 operational, 17 under construction.</t>
  </si>
  <si>
    <t>USD 1.59 billion in attracted investment; 600MW ZESCO substation plus 80MW solar power</t>
  </si>
  <si>
    <t>Lusaka south multi-facility economic zone visit informs ECA SRO-SA strategy for regional SEZ development</t>
  </si>
  <si>
    <t>https://www.uneca.org/stories/lusaka-south-multi-facility-economic-zone-visit-informs-eca-sro-sa-strategy-for-regional-sez</t>
  </si>
  <si>
    <t>2025-11-18</t>
  </si>
  <si>
    <t>TAZARA Railway Modernisation</t>
  </si>
  <si>
    <t>Kapiri Mposhi, Zambia to Dar es Salaam, Tanzania</t>
  </si>
  <si>
    <t>Tanzania-Zambia Railway Authority, with Chinese state financing/contracting</t>
  </si>
  <si>
    <t>Agreement signed; modernisation of track, stations, tunnels and bridges to begin.</t>
  </si>
  <si>
    <t>$1.4 billion; raises annual freight capacity from 100,000 to 2.4 million tonnes</t>
  </si>
  <si>
    <t>China inks $1.4bn deal to revive Africa's famous Tazara railway</t>
  </si>
  <si>
    <t>https://www.globalconstructionreview.com/china-inks-1-4bn-deal-to-revive-africas-famous-tazara-railway/</t>
  </si>
  <si>
    <t>2025-11-20</t>
  </si>
  <si>
    <t>Zambia Tier III National Data Centre (Lusaka South MFEZ)</t>
  </si>
  <si>
    <t>Lusaka South Multi-Facility Economic Zone, Zambia</t>
  </si>
  <si>
    <t>Government of Zambia</t>
  </si>
  <si>
    <t>Construction announced/beginning 2024.</t>
  </si>
  <si>
    <t>Investment not disclosed</t>
  </si>
  <si>
    <t>Zambia gets ready to build a tier 3 data centre</t>
  </si>
  <si>
    <t>https://itweb.africa/content/kLgB17ezWlNM59N4</t>
  </si>
  <si>
    <t>Manhize Special Economic Zone</t>
  </si>
  <si>
    <t>Manhize, Chirumhanzu District, Midlands Province, Zimbabwe</t>
  </si>
  <si>
    <t>Dinson Iron and Steel Company / ZIDA</t>
  </si>
  <si>
    <t>SEZ status formally granted August 2025; integrated steel plant operational and expanding.</t>
  </si>
  <si>
    <t>~$1.5 billion invested</t>
  </si>
  <si>
    <t>Beitbridge Border Post Modernisation</t>
  </si>
  <si>
    <t>Beitbridge, Matabeleland South, Zimbabwe</t>
  </si>
  <si>
    <t>Zimborders (Pvt) Ltd</t>
  </si>
  <si>
    <t>All three rollout phases completed (Oct 2021 - Dec 2022); operational.</t>
  </si>
  <si>
    <t>Multi-phase upgrade including new freight terminal at Africa's busiest land border</t>
  </si>
  <si>
    <t>Projects – Zimborders</t>
  </si>
  <si>
    <t>https://www.zimborders.com/projects/</t>
  </si>
  <si>
    <t>Dandemutande Tier III Data Centre</t>
  </si>
  <si>
    <t>Under development / planned.</t>
  </si>
  <si>
    <t>$15 million investment; expected completion by June 2026</t>
  </si>
  <si>
    <t>August 29, 2023</t>
  </si>
  <si>
    <t>October 15, 2023</t>
  </si>
  <si>
    <t>April 23, 2023</t>
  </si>
  <si>
    <t>April 11, 2023</t>
  </si>
  <si>
    <t>December 11,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</si>
</sst>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b/>
      <sz val="16"/>
      <color rgb="FFFFFFFF"/>
      <name val="Arial"/>
      <charset val="1"/>
    </font>
    <font>
      <i/>
      <sz val="10"/>
      <color rgb="FF555555"/>
      <name val="Arial"/>
      <charset val="1"/>
    </font>
    <font>
      <b/>
      <sz val="12"/>
      <color rgb="FF1F4E78"/>
      <name val="Arial"/>
      <charset val="1"/>
    </font>
    <font>
      <sz val="10"/>
      <name val="Arial"/>
      <charset val="1"/>
    </font>
    <font>
      <b/>
      <sz val="11"/>
      <name val="Arial"/>
      <charset val="1"/>
    </font>
    <font>
      <sz val="11"/>
      <name val="Arial"/>
      <charset val="1"/>
    </font>
    <font>
      <sz val="9"/>
      <name val="Arial"/>
      <charset val="1"/>
    </font>
    <font>
      <b/>
      <sz val="14"/>
      <color rgb="FFFFFFFF"/>
      <name val="Arial"/>
      <charset val="1"/>
    </font>
    <font>
      <sz val="10"/>
      <color rgb="FF0000FF"/>
      <name val="Arial"/>
      <charset val="1"/>
    </font>
    <font>
      <b/>
      <sz val="10"/>
      <color rgb="FFFFFFFF"/>
      <name val="Arial"/>
      <charset val="1"/>
    </font>
    <font>
      <b/>
      <sz val="9"/>
      <name val="Arial"/>
      <charset val="1"/>
    </font>
  </fonts>
  <fills count="10">
    <fill>
      <patternFill patternType="none"/>
    </fill>
    <fill>
      <patternFill patternType="gray125"/>
    </fill>
    <fill>
      <patternFill patternType="solid">
        <fgColor rgb="FF1F4E78"/>
        <bgColor rgb="FF003366"/>
      </patternFill>
    </fill>
    <fill>
      <patternFill patternType="solid">
        <fgColor rgb="FF375623"/>
        <bgColor rgb="FF555555"/>
      </patternFill>
    </fill>
    <fill>
      <patternFill patternType="solid">
        <fgColor rgb="FF833C0C"/>
        <bgColor rgb="FF993366"/>
      </patternFill>
    </fill>
    <fill>
      <patternFill patternType="solid">
        <fgColor rgb="FF5F3F80"/>
        <bgColor rgb="FF555555"/>
      </patternFill>
    </fill>
    <fill>
      <patternFill patternType="solid">
        <fgColor rgb="FFDDEBF7"/>
        <bgColor rgb="FFE2EFDA"/>
      </patternFill>
    </fill>
    <fill>
      <patternFill patternType="solid">
        <fgColor rgb="FFE2EFDA"/>
        <bgColor rgb="FFDDEBF7"/>
      </patternFill>
    </fill>
    <fill>
      <patternFill patternType="solid">
        <fgColor rgb="FFFCE4D6"/>
        <bgColor rgb="FFE4DFEC"/>
      </patternFill>
    </fill>
    <fill>
      <patternFill patternType="solid">
        <fgColor rgb="FFE4DFEC"/>
        <bgColor rgb="FFDDEB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8">
    <xf numFmtId="0" fontId="0" fillId="0" borderId="0" xfId="0"/>
    <xf numFmtId="0" fontId="10" fillId="5" borderId="0" xfId="0" applyFont="1" applyFill="1" applyAlignment="1">
      <alignment horizontal="center" vertical="center"/>
    </xf>
    <xf numFmtId="0" fontId="10" fillId="4" borderId="0" xfId="0" applyFont="1" applyFill="1" applyAlignment="1">
      <alignment horizontal="center" vertical="center"/>
    </xf>
    <xf numFmtId="0" fontId="10" fillId="3" borderId="0" xfId="0" applyFont="1" applyFill="1" applyAlignment="1">
      <alignment horizontal="center" vertical="center"/>
    </xf>
    <xf numFmtId="0" fontId="10" fillId="2" borderId="0" xfId="0" applyFont="1" applyFill="1" applyAlignment="1">
      <alignment horizontal="center" vertical="center"/>
    </xf>
    <xf numFmtId="0" fontId="8" fillId="2" borderId="0" xfId="0" applyFont="1" applyFill="1" applyAlignment="1">
      <alignment horizontal="left" vertical="center" indent="1"/>
    </xf>
    <xf numFmtId="0" fontId="7" fillId="0" borderId="0" xfId="0" applyFont="1" applyAlignment="1">
      <alignment vertical="top" wrapText="1"/>
    </xf>
    <xf numFmtId="0" fontId="4" fillId="0" borderId="0" xfId="0" applyFont="1" applyAlignment="1">
      <alignment vertical="top" wrapText="1"/>
    </xf>
    <xf numFmtId="0" fontId="2" fillId="0" borderId="0" xfId="0" applyFont="1"/>
    <xf numFmtId="0" fontId="1" fillId="2" borderId="0" xfId="0" applyFont="1" applyFill="1" applyAlignment="1">
      <alignment horizontal="left" vertical="center" indent="1"/>
    </xf>
    <xf numFmtId="0" fontId="3" fillId="0" borderId="0" xfId="0" applyFont="1"/>
    <xf numFmtId="0" fontId="5" fillId="0" borderId="0" xfId="0" applyFont="1"/>
    <xf numFmtId="0" fontId="6" fillId="0" borderId="0" xfId="0" applyFont="1"/>
    <xf numFmtId="0" fontId="6" fillId="0" borderId="0" xfId="0" applyFont="1" applyAlignment="1">
      <alignment wrapText="1"/>
    </xf>
    <xf numFmtId="0" fontId="4" fillId="0" borderId="0" xfId="0" applyFont="1"/>
    <xf numFmtId="0" fontId="9" fillId="0" borderId="0" xfId="0" applyFont="1" applyAlignment="1">
      <alignment horizontal="center"/>
    </xf>
    <xf numFmtId="0" fontId="11"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7" fillId="0" borderId="1" xfId="0" applyFont="1" applyBorder="1" applyAlignment="1">
      <alignment vertical="top"/>
    </xf>
    <xf numFmtId="0" fontId="7" fillId="0" borderId="1" xfId="0" applyFont="1" applyBorder="1" applyAlignment="1">
      <alignment vertical="top" wrapText="1"/>
    </xf>
    <xf numFmtId="1" fontId="7" fillId="0" borderId="1" xfId="0" applyNumberFormat="1" applyFont="1" applyBorder="1" applyAlignment="1">
      <alignment vertical="top"/>
    </xf>
    <xf numFmtId="164" fontId="7" fillId="0" borderId="1" xfId="0" applyNumberFormat="1" applyFont="1" applyBorder="1" applyAlignment="1">
      <alignment vertical="top"/>
    </xf>
    <xf numFmtId="0" fontId="7" fillId="0" borderId="1" xfId="0" applyFont="1" applyBorder="1" applyAlignment="1">
      <alignment horizontal="center" vertical="top"/>
    </xf>
    <xf numFmtId="0" fontId="11" fillId="0" borderId="1" xfId="0" applyFont="1" applyBorder="1" applyAlignment="1">
      <alignment horizontal="center" vertical="top"/>
    </xf>
    <xf numFmtId="14" fontId="7" fillId="0" borderId="1" xfId="0" applyNumberFormat="1" applyFont="1" applyBorder="1" applyAlignment="1">
      <alignment vertical="top"/>
    </xf>
    <xf numFmtId="17" fontId="7" fillId="0" borderId="1" xfId="0" applyNumberFormat="1" applyFont="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5F3F80"/>
      <rgbColor rgb="FFFCE4D6"/>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833C0C"/>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showGridLines="0" zoomScaleNormal="100" workbookViewId="0"/>
  </sheetViews>
  <sheetFormatPr defaultColWidth="8.6640625" defaultRowHeight="14.4" x14ac:dyDescent="0.3"/>
  <cols>
    <col min="1" max="1" width="34" customWidth="1"/>
    <col min="2" max="2" width="92" customWidth="1"/>
  </cols>
  <sheetData>
    <row r="1" spans="1:2" ht="30" customHeight="1" x14ac:dyDescent="0.3">
      <c r="A1" s="9" t="s">
        <v>0</v>
      </c>
      <c r="B1" s="9"/>
    </row>
    <row r="3" spans="1:2" x14ac:dyDescent="0.3">
      <c r="A3" s="8" t="s">
        <v>1</v>
      </c>
      <c r="B3" s="8"/>
    </row>
    <row r="4" spans="1:2" x14ac:dyDescent="0.3">
      <c r="A4" s="8" t="s">
        <v>2</v>
      </c>
      <c r="B4" s="8"/>
    </row>
    <row r="6" spans="1:2" ht="15.6" x14ac:dyDescent="0.3">
      <c r="A6" s="10" t="s">
        <v>3</v>
      </c>
    </row>
    <row r="7" spans="1:2" ht="15" customHeight="1" x14ac:dyDescent="0.3">
      <c r="A7" s="7" t="s">
        <v>4</v>
      </c>
      <c r="B7" s="7"/>
    </row>
    <row r="8" spans="1:2" x14ac:dyDescent="0.3">
      <c r="A8" s="7"/>
      <c r="B8" s="7"/>
    </row>
    <row r="9" spans="1:2" x14ac:dyDescent="0.3">
      <c r="A9" s="7"/>
      <c r="B9" s="7"/>
    </row>
    <row r="11" spans="1:2" x14ac:dyDescent="0.3">
      <c r="A11" s="11" t="s">
        <v>5</v>
      </c>
      <c r="B11" s="11" t="s">
        <v>6</v>
      </c>
    </row>
    <row r="12" spans="1:2" ht="28.2" x14ac:dyDescent="0.3">
      <c r="A12" s="12" t="s">
        <v>7</v>
      </c>
      <c r="B12" s="13" t="s">
        <v>8</v>
      </c>
    </row>
    <row r="13" spans="1:2" x14ac:dyDescent="0.3">
      <c r="A13" s="12" t="s">
        <v>9</v>
      </c>
      <c r="B13" s="13" t="s">
        <v>10</v>
      </c>
    </row>
    <row r="14" spans="1:2" ht="28.2" x14ac:dyDescent="0.3">
      <c r="A14" s="12" t="s">
        <v>11</v>
      </c>
      <c r="B14" s="13" t="s">
        <v>12</v>
      </c>
    </row>
    <row r="16" spans="1:2" ht="15.6" x14ac:dyDescent="0.3">
      <c r="A16" s="10" t="s">
        <v>13</v>
      </c>
    </row>
    <row r="17" spans="1:2" x14ac:dyDescent="0.3">
      <c r="A17" s="11" t="s">
        <v>14</v>
      </c>
      <c r="B17" s="11" t="s">
        <v>15</v>
      </c>
    </row>
    <row r="18" spans="1:2" x14ac:dyDescent="0.3">
      <c r="A18" s="12" t="s">
        <v>16</v>
      </c>
      <c r="B18" s="12" t="s">
        <v>17</v>
      </c>
    </row>
    <row r="19" spans="1:2" x14ac:dyDescent="0.3">
      <c r="A19" s="12" t="s">
        <v>18</v>
      </c>
      <c r="B19" s="12" t="s">
        <v>19</v>
      </c>
    </row>
    <row r="20" spans="1:2" x14ac:dyDescent="0.3">
      <c r="A20" s="12" t="s">
        <v>20</v>
      </c>
      <c r="B20" s="12" t="s">
        <v>21</v>
      </c>
    </row>
    <row r="21" spans="1:2" x14ac:dyDescent="0.3">
      <c r="A21" s="12" t="s">
        <v>22</v>
      </c>
      <c r="B21" s="12" t="s">
        <v>23</v>
      </c>
    </row>
    <row r="22" spans="1:2" x14ac:dyDescent="0.3">
      <c r="A22" s="12" t="s">
        <v>24</v>
      </c>
      <c r="B22" s="12" t="s">
        <v>25</v>
      </c>
    </row>
    <row r="23" spans="1:2" x14ac:dyDescent="0.3">
      <c r="A23" s="12" t="s">
        <v>26</v>
      </c>
      <c r="B23" s="12" t="s">
        <v>27</v>
      </c>
    </row>
    <row r="24" spans="1:2" x14ac:dyDescent="0.3">
      <c r="A24" s="12" t="s">
        <v>28</v>
      </c>
      <c r="B24" s="12" t="s">
        <v>29</v>
      </c>
    </row>
    <row r="25" spans="1:2" x14ac:dyDescent="0.3">
      <c r="A25" s="12" t="s">
        <v>30</v>
      </c>
      <c r="B25" s="12" t="s">
        <v>31</v>
      </c>
    </row>
    <row r="26" spans="1:2" x14ac:dyDescent="0.3">
      <c r="A26" s="12" t="s">
        <v>32</v>
      </c>
      <c r="B26" s="12" t="s">
        <v>21</v>
      </c>
    </row>
    <row r="27" spans="1:2" x14ac:dyDescent="0.3">
      <c r="A27" s="12" t="s">
        <v>33</v>
      </c>
      <c r="B27" s="12" t="s">
        <v>31</v>
      </c>
    </row>
    <row r="28" spans="1:2" x14ac:dyDescent="0.3">
      <c r="A28" s="12" t="s">
        <v>34</v>
      </c>
      <c r="B28" s="12" t="s">
        <v>31</v>
      </c>
    </row>
    <row r="29" spans="1:2" x14ac:dyDescent="0.3">
      <c r="A29" s="12" t="s">
        <v>35</v>
      </c>
      <c r="B29" s="12" t="s">
        <v>36</v>
      </c>
    </row>
    <row r="30" spans="1:2" x14ac:dyDescent="0.3">
      <c r="A30" s="12" t="s">
        <v>37</v>
      </c>
      <c r="B30" s="12" t="s">
        <v>38</v>
      </c>
    </row>
    <row r="31" spans="1:2" x14ac:dyDescent="0.3">
      <c r="A31" s="12" t="s">
        <v>39</v>
      </c>
      <c r="B31" s="12" t="s">
        <v>40</v>
      </c>
    </row>
    <row r="32" spans="1:2" x14ac:dyDescent="0.3">
      <c r="A32" s="12" t="s">
        <v>41</v>
      </c>
      <c r="B32" s="12" t="s">
        <v>23</v>
      </c>
    </row>
    <row r="33" spans="1:2" x14ac:dyDescent="0.3">
      <c r="A33" s="12" t="s">
        <v>42</v>
      </c>
      <c r="B33" s="12" t="s">
        <v>43</v>
      </c>
    </row>
    <row r="34" spans="1:2" x14ac:dyDescent="0.3">
      <c r="A34" s="12" t="s">
        <v>44</v>
      </c>
      <c r="B34" s="12" t="s">
        <v>45</v>
      </c>
    </row>
    <row r="35" spans="1:2" x14ac:dyDescent="0.3">
      <c r="A35" s="12" t="s">
        <v>46</v>
      </c>
      <c r="B35" s="12" t="s">
        <v>47</v>
      </c>
    </row>
    <row r="36" spans="1:2" x14ac:dyDescent="0.3">
      <c r="A36" s="12" t="s">
        <v>48</v>
      </c>
      <c r="B36" s="12" t="s">
        <v>47</v>
      </c>
    </row>
    <row r="38" spans="1:2" ht="15.6" x14ac:dyDescent="0.3">
      <c r="A38" s="10" t="s">
        <v>49</v>
      </c>
    </row>
    <row r="39" spans="1:2" ht="22.35" customHeight="1" x14ac:dyDescent="0.3">
      <c r="A39" s="6" t="s">
        <v>50</v>
      </c>
      <c r="B39" s="6"/>
    </row>
    <row r="40" spans="1:2" ht="32.85" customHeight="1" x14ac:dyDescent="0.3">
      <c r="A40" s="6" t="s">
        <v>51</v>
      </c>
      <c r="B40" s="6"/>
    </row>
    <row r="41" spans="1:2" ht="22.35" customHeight="1" x14ac:dyDescent="0.3">
      <c r="A41" s="6" t="s">
        <v>52</v>
      </c>
      <c r="B41" s="6"/>
    </row>
    <row r="42" spans="1:2" ht="22.35" customHeight="1" x14ac:dyDescent="0.3">
      <c r="A42" s="6" t="s">
        <v>53</v>
      </c>
      <c r="B42" s="6"/>
    </row>
    <row r="43" spans="1:2" ht="22.35" customHeight="1" x14ac:dyDescent="0.3">
      <c r="A43" s="6" t="s">
        <v>54</v>
      </c>
      <c r="B43" s="6"/>
    </row>
    <row r="44" spans="1:2" ht="32.85" customHeight="1" x14ac:dyDescent="0.3">
      <c r="A44" s="6" t="s">
        <v>55</v>
      </c>
      <c r="B44" s="6"/>
    </row>
    <row r="45" spans="1:2" ht="85.05" customHeight="1" x14ac:dyDescent="0.3">
      <c r="A45" s="6" t="s">
        <v>56</v>
      </c>
      <c r="B45" s="6"/>
    </row>
  </sheetData>
  <mergeCells count="11">
    <mergeCell ref="A45:B45"/>
    <mergeCell ref="A40:B40"/>
    <mergeCell ref="A41:B41"/>
    <mergeCell ref="A42:B42"/>
    <mergeCell ref="A43:B43"/>
    <mergeCell ref="A44:B44"/>
    <mergeCell ref="A1:B1"/>
    <mergeCell ref="A3:B3"/>
    <mergeCell ref="A4:B4"/>
    <mergeCell ref="A7:B9"/>
    <mergeCell ref="A39:B3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8"/>
  <sheetViews>
    <sheetView showGridLines="0" zoomScaleNormal="100" workbookViewId="0"/>
  </sheetViews>
  <sheetFormatPr defaultColWidth="8.6640625" defaultRowHeight="14.4" x14ac:dyDescent="0.3"/>
  <cols>
    <col min="1" max="1" width="30" customWidth="1"/>
    <col min="2" max="2" width="20" customWidth="1"/>
    <col min="3" max="3" width="55" customWidth="1"/>
    <col min="4" max="4" width="2" customWidth="1"/>
  </cols>
  <sheetData>
    <row r="1" spans="1:3" ht="25.5" customHeight="1" x14ac:dyDescent="0.3">
      <c r="A1" s="5" t="s">
        <v>57</v>
      </c>
      <c r="B1" s="5"/>
      <c r="C1" s="5"/>
    </row>
    <row r="3" spans="1:3" ht="15" customHeight="1" x14ac:dyDescent="0.3">
      <c r="A3" s="7" t="s">
        <v>58</v>
      </c>
      <c r="B3" s="7"/>
      <c r="C3" s="7"/>
    </row>
    <row r="4" spans="1:3" x14ac:dyDescent="0.3">
      <c r="A4" s="7"/>
      <c r="B4" s="7"/>
      <c r="C4" s="7"/>
    </row>
    <row r="5" spans="1:3" x14ac:dyDescent="0.3">
      <c r="A5" s="7"/>
      <c r="B5" s="7"/>
      <c r="C5" s="7"/>
    </row>
    <row r="6" spans="1:3" x14ac:dyDescent="0.3">
      <c r="A6" s="7"/>
      <c r="B6" s="7"/>
      <c r="C6" s="7"/>
    </row>
    <row r="8" spans="1:3" ht="15.6" x14ac:dyDescent="0.3">
      <c r="A8" s="10" t="s">
        <v>59</v>
      </c>
    </row>
    <row r="9" spans="1:3" x14ac:dyDescent="0.3">
      <c r="A9" s="11" t="s">
        <v>60</v>
      </c>
      <c r="B9" s="11" t="s">
        <v>61</v>
      </c>
    </row>
    <row r="10" spans="1:3" x14ac:dyDescent="0.3">
      <c r="A10" s="14" t="s">
        <v>62</v>
      </c>
      <c r="B10" s="15">
        <v>40</v>
      </c>
    </row>
    <row r="11" spans="1:3" x14ac:dyDescent="0.3">
      <c r="A11" s="14" t="s">
        <v>63</v>
      </c>
      <c r="B11" s="15">
        <v>32</v>
      </c>
    </row>
    <row r="12" spans="1:3" x14ac:dyDescent="0.3">
      <c r="A12" s="14" t="s">
        <v>64</v>
      </c>
      <c r="B12" s="15">
        <v>24</v>
      </c>
    </row>
    <row r="13" spans="1:3" x14ac:dyDescent="0.3">
      <c r="A13" s="14" t="s">
        <v>65</v>
      </c>
      <c r="B13" s="15">
        <v>16</v>
      </c>
    </row>
    <row r="14" spans="1:3" x14ac:dyDescent="0.3">
      <c r="A14" s="14" t="s">
        <v>66</v>
      </c>
      <c r="B14" s="15">
        <v>8</v>
      </c>
    </row>
    <row r="15" spans="1:3" x14ac:dyDescent="0.3">
      <c r="A15" s="14" t="s">
        <v>67</v>
      </c>
      <c r="B15" s="15">
        <v>12</v>
      </c>
    </row>
    <row r="17" spans="1:2" ht="15.6" x14ac:dyDescent="0.3">
      <c r="A17" s="10" t="s">
        <v>68</v>
      </c>
    </row>
    <row r="18" spans="1:2" x14ac:dyDescent="0.3">
      <c r="A18" s="11" t="s">
        <v>60</v>
      </c>
      <c r="B18" s="11" t="s">
        <v>61</v>
      </c>
    </row>
    <row r="19" spans="1:2" x14ac:dyDescent="0.3">
      <c r="A19" s="14" t="s">
        <v>69</v>
      </c>
      <c r="B19" s="15">
        <v>25</v>
      </c>
    </row>
    <row r="20" spans="1:2" x14ac:dyDescent="0.3">
      <c r="A20" s="14" t="s">
        <v>70</v>
      </c>
      <c r="B20" s="15">
        <v>20</v>
      </c>
    </row>
    <row r="21" spans="1:2" x14ac:dyDescent="0.3">
      <c r="A21" s="14" t="s">
        <v>71</v>
      </c>
      <c r="B21" s="15">
        <v>14</v>
      </c>
    </row>
    <row r="22" spans="1:2" x14ac:dyDescent="0.3">
      <c r="A22" s="14" t="s">
        <v>72</v>
      </c>
      <c r="B22" s="15">
        <v>8</v>
      </c>
    </row>
    <row r="23" spans="1:2" x14ac:dyDescent="0.3">
      <c r="A23" s="14" t="s">
        <v>73</v>
      </c>
      <c r="B23" s="15">
        <v>5</v>
      </c>
    </row>
    <row r="25" spans="1:2" ht="15.6" x14ac:dyDescent="0.3">
      <c r="A25" s="10" t="s">
        <v>74</v>
      </c>
    </row>
    <row r="26" spans="1:2" x14ac:dyDescent="0.3">
      <c r="A26" s="11" t="s">
        <v>75</v>
      </c>
      <c r="B26" s="11" t="s">
        <v>61</v>
      </c>
    </row>
    <row r="27" spans="1:2" x14ac:dyDescent="0.3">
      <c r="A27" s="14" t="s">
        <v>76</v>
      </c>
      <c r="B27" s="15">
        <v>20</v>
      </c>
    </row>
    <row r="28" spans="1:2" x14ac:dyDescent="0.3">
      <c r="A28" s="14" t="s">
        <v>77</v>
      </c>
      <c r="B28" s="15">
        <v>20</v>
      </c>
    </row>
    <row r="29" spans="1:2" x14ac:dyDescent="0.3">
      <c r="A29" s="14" t="s">
        <v>78</v>
      </c>
      <c r="B29" s="15">
        <v>18</v>
      </c>
    </row>
    <row r="30" spans="1:2" x14ac:dyDescent="0.3">
      <c r="A30" s="14" t="s">
        <v>79</v>
      </c>
      <c r="B30" s="15">
        <v>16</v>
      </c>
    </row>
    <row r="31" spans="1:2" x14ac:dyDescent="0.3">
      <c r="A31" s="14" t="s">
        <v>80</v>
      </c>
      <c r="B31" s="15">
        <v>14</v>
      </c>
    </row>
    <row r="32" spans="1:2" x14ac:dyDescent="0.3">
      <c r="A32" s="14" t="s">
        <v>81</v>
      </c>
      <c r="B32" s="15">
        <v>14</v>
      </c>
    </row>
    <row r="33" spans="1:2" x14ac:dyDescent="0.3">
      <c r="A33" s="14" t="s">
        <v>82</v>
      </c>
      <c r="B33" s="15">
        <v>12</v>
      </c>
    </row>
    <row r="34" spans="1:2" x14ac:dyDescent="0.3">
      <c r="A34" s="14" t="s">
        <v>83</v>
      </c>
      <c r="B34" s="15">
        <v>10</v>
      </c>
    </row>
    <row r="35" spans="1:2" x14ac:dyDescent="0.3">
      <c r="A35" s="14" t="s">
        <v>84</v>
      </c>
      <c r="B35" s="15">
        <v>8</v>
      </c>
    </row>
    <row r="36" spans="1:2" x14ac:dyDescent="0.3">
      <c r="A36" s="14" t="s">
        <v>85</v>
      </c>
      <c r="B36" s="15">
        <v>12</v>
      </c>
    </row>
    <row r="38" spans="1:2" ht="15.6" x14ac:dyDescent="0.3">
      <c r="A38" s="10" t="s">
        <v>86</v>
      </c>
    </row>
    <row r="39" spans="1:2" x14ac:dyDescent="0.3">
      <c r="A39" s="11" t="s">
        <v>60</v>
      </c>
      <c r="B39" s="11" t="s">
        <v>61</v>
      </c>
    </row>
    <row r="40" spans="1:2" x14ac:dyDescent="0.3">
      <c r="A40" s="14" t="s">
        <v>87</v>
      </c>
      <c r="B40" s="15">
        <v>15</v>
      </c>
    </row>
    <row r="41" spans="1:2" x14ac:dyDescent="0.3">
      <c r="A41" s="14" t="s">
        <v>88</v>
      </c>
      <c r="B41" s="15">
        <v>10</v>
      </c>
    </row>
    <row r="42" spans="1:2" x14ac:dyDescent="0.3">
      <c r="A42" s="14" t="s">
        <v>89</v>
      </c>
      <c r="B42" s="15">
        <v>5</v>
      </c>
    </row>
    <row r="43" spans="1:2" x14ac:dyDescent="0.3">
      <c r="A43" s="14" t="s">
        <v>90</v>
      </c>
      <c r="B43" s="15">
        <v>0</v>
      </c>
    </row>
    <row r="45" spans="1:2" ht="15.6" x14ac:dyDescent="0.3">
      <c r="A45" s="10" t="s">
        <v>91</v>
      </c>
    </row>
    <row r="46" spans="1:2" x14ac:dyDescent="0.3">
      <c r="A46" s="14" t="s">
        <v>92</v>
      </c>
      <c r="B46" s="15" t="s">
        <v>93</v>
      </c>
    </row>
    <row r="47" spans="1:2" x14ac:dyDescent="0.3">
      <c r="A47" s="14" t="s">
        <v>94</v>
      </c>
      <c r="B47" s="15" t="s">
        <v>95</v>
      </c>
    </row>
    <row r="48" spans="1:2" x14ac:dyDescent="0.3">
      <c r="A48" s="14" t="s">
        <v>96</v>
      </c>
      <c r="B48" s="15" t="s">
        <v>97</v>
      </c>
    </row>
  </sheetData>
  <mergeCells count="2">
    <mergeCell ref="A1:C1"/>
    <mergeCell ref="A3:C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1"/>
  <sheetViews>
    <sheetView showGridLines="0" tabSelected="1" zoomScaleNormal="100" workbookViewId="0">
      <pane ySplit="2" topLeftCell="A79" activePane="bottomLeft" state="frozen"/>
      <selection pane="bottomLeft" activeCell="R28" sqref="R28"/>
    </sheetView>
  </sheetViews>
  <sheetFormatPr defaultColWidth="8.6640625" defaultRowHeight="14.4" x14ac:dyDescent="0.3"/>
  <cols>
    <col min="1" max="1" width="10" customWidth="1"/>
    <col min="2" max="2" width="30" customWidth="1"/>
    <col min="3" max="3" width="14" customWidth="1"/>
    <col min="4" max="4" width="28" customWidth="1"/>
    <col min="5" max="6" width="40" customWidth="1"/>
    <col min="7" max="7" width="10" customWidth="1"/>
    <col min="8" max="8" width="24" customWidth="1"/>
    <col min="9" max="9" width="14" customWidth="1"/>
    <col min="10" max="10" width="20" customWidth="1"/>
    <col min="11" max="15" width="10" customWidth="1"/>
    <col min="16" max="16" width="12" customWidth="1"/>
    <col min="17" max="17" width="28" customWidth="1"/>
    <col min="18" max="18" width="32" customWidth="1"/>
    <col min="19" max="19" width="14" customWidth="1"/>
  </cols>
  <sheetData>
    <row r="1" spans="1:19" ht="19.5" customHeight="1" x14ac:dyDescent="0.3">
      <c r="A1" s="4" t="s">
        <v>98</v>
      </c>
      <c r="B1" s="4"/>
      <c r="C1" s="4"/>
      <c r="D1" s="4"/>
      <c r="E1" s="4"/>
      <c r="F1" s="3" t="s">
        <v>99</v>
      </c>
      <c r="G1" s="3"/>
      <c r="H1" s="3"/>
      <c r="I1" s="3"/>
      <c r="J1" s="3"/>
      <c r="K1" s="2" t="s">
        <v>100</v>
      </c>
      <c r="L1" s="2"/>
      <c r="M1" s="2"/>
      <c r="N1" s="2"/>
      <c r="O1" s="2"/>
      <c r="P1" s="2"/>
      <c r="Q1" s="1" t="s">
        <v>101</v>
      </c>
      <c r="R1" s="1"/>
      <c r="S1" s="1"/>
    </row>
    <row r="2" spans="1:19" ht="30" customHeight="1" x14ac:dyDescent="0.3">
      <c r="A2" s="16" t="s">
        <v>14</v>
      </c>
      <c r="B2" s="16" t="s">
        <v>102</v>
      </c>
      <c r="C2" s="16" t="s">
        <v>103</v>
      </c>
      <c r="D2" s="16" t="s">
        <v>104</v>
      </c>
      <c r="E2" s="16" t="s">
        <v>105</v>
      </c>
      <c r="F2" s="17" t="s">
        <v>99</v>
      </c>
      <c r="G2" s="17" t="s">
        <v>106</v>
      </c>
      <c r="H2" s="17" t="s">
        <v>107</v>
      </c>
      <c r="I2" s="17" t="s">
        <v>108</v>
      </c>
      <c r="J2" s="17" t="s">
        <v>75</v>
      </c>
      <c r="K2" s="18" t="s">
        <v>109</v>
      </c>
      <c r="L2" s="18" t="s">
        <v>110</v>
      </c>
      <c r="M2" s="18" t="s">
        <v>111</v>
      </c>
      <c r="N2" s="18" t="s">
        <v>112</v>
      </c>
      <c r="O2" s="18" t="s">
        <v>113</v>
      </c>
      <c r="P2" s="18" t="s">
        <v>114</v>
      </c>
      <c r="Q2" s="19" t="s">
        <v>115</v>
      </c>
      <c r="R2" s="19" t="s">
        <v>116</v>
      </c>
      <c r="S2" s="19" t="s">
        <v>117</v>
      </c>
    </row>
    <row r="3" spans="1:19" ht="30" customHeight="1" x14ac:dyDescent="0.3">
      <c r="A3" s="20" t="s">
        <v>16</v>
      </c>
      <c r="B3" s="20" t="s">
        <v>118</v>
      </c>
      <c r="C3" s="20" t="s">
        <v>119</v>
      </c>
      <c r="D3" s="21" t="s">
        <v>120</v>
      </c>
      <c r="E3" s="21" t="s">
        <v>121</v>
      </c>
      <c r="F3" s="21" t="s">
        <v>122</v>
      </c>
      <c r="G3" s="22">
        <v>2021</v>
      </c>
      <c r="H3" s="20" t="s">
        <v>123</v>
      </c>
      <c r="I3" s="23">
        <v>53</v>
      </c>
      <c r="J3" s="20" t="s">
        <v>76</v>
      </c>
      <c r="K3" s="24">
        <f t="shared" ref="K3:K34" si="0">IF(I3="",12,IF(I3&gt;=100,40,IF(I3&gt;=20,32,IF(I3&gt;=5,24,IF(I3&gt;=1,16,8)))))</f>
        <v>32</v>
      </c>
      <c r="L3" s="24">
        <f t="shared" ref="L3:L34" si="1">IF(G3="",5,IF(G3&gt;=2023,25,IF(G3&gt;=2022,20,IF(G3&gt;=2021,14,IF(G3&gt;=2020,8,5)))))</f>
        <v>14</v>
      </c>
      <c r="M3" s="24">
        <f>IFERROR(INDEX(Methodology!$B$27:$B$36,MATCH(J3,Methodology!$A$27:$A$36,0)),12)</f>
        <v>20</v>
      </c>
      <c r="N3" s="24">
        <f>IF(COUNTIF(Infrastructure!$A:$A,A3)&gt;=4,15,IF(COUNTIF(Infrastructure!$A:$A,A3)&gt;=2,10,IF(COUNTIF(Infrastructure!$A:$A,A3)&gt;=1,5,0)))</f>
        <v>5</v>
      </c>
      <c r="O3" s="25">
        <f t="shared" ref="O3:O34" si="2">K3+L3+M3+N3</f>
        <v>71</v>
      </c>
      <c r="P3" s="25" t="str">
        <f t="shared" ref="P3:P34" si="3">IF(O3&gt;=70,"High",IF(O3&gt;=50,"Medium","Watch"))</f>
        <v>High</v>
      </c>
      <c r="Q3" s="21" t="s">
        <v>124</v>
      </c>
      <c r="R3" s="20" t="s">
        <v>125</v>
      </c>
      <c r="S3" s="20" t="s">
        <v>126</v>
      </c>
    </row>
    <row r="4" spans="1:19" ht="30" customHeight="1" x14ac:dyDescent="0.3">
      <c r="A4" s="20" t="s">
        <v>16</v>
      </c>
      <c r="B4" s="20" t="s">
        <v>127</v>
      </c>
      <c r="C4" s="20" t="s">
        <v>128</v>
      </c>
      <c r="D4" s="21" t="s">
        <v>129</v>
      </c>
      <c r="E4" s="21" t="s">
        <v>130</v>
      </c>
      <c r="F4" s="21" t="s">
        <v>131</v>
      </c>
      <c r="G4" s="22">
        <v>2026</v>
      </c>
      <c r="H4" s="20" t="s">
        <v>132</v>
      </c>
      <c r="I4" s="23">
        <v>10</v>
      </c>
      <c r="J4" s="20" t="s">
        <v>82</v>
      </c>
      <c r="K4" s="24">
        <f t="shared" si="0"/>
        <v>24</v>
      </c>
      <c r="L4" s="24">
        <f t="shared" si="1"/>
        <v>25</v>
      </c>
      <c r="M4" s="24">
        <f>IFERROR(INDEX(Methodology!$B$27:$B$36,MATCH(J4,Methodology!$A$27:$A$36,0)),12)</f>
        <v>12</v>
      </c>
      <c r="N4" s="24">
        <f>IF(COUNTIF(Infrastructure!$A:$A,A4)&gt;=4,15,IF(COUNTIF(Infrastructure!$A:$A,A4)&gt;=2,10,IF(COUNTIF(Infrastructure!$A:$A,A4)&gt;=1,5,0)))</f>
        <v>5</v>
      </c>
      <c r="O4" s="25">
        <f t="shared" si="2"/>
        <v>66</v>
      </c>
      <c r="P4" s="25" t="str">
        <f t="shared" si="3"/>
        <v>Medium</v>
      </c>
      <c r="Q4" s="21" t="s">
        <v>133</v>
      </c>
      <c r="R4" s="20" t="s">
        <v>134</v>
      </c>
      <c r="S4" s="20" t="s">
        <v>135</v>
      </c>
    </row>
    <row r="5" spans="1:19" ht="30" customHeight="1" x14ac:dyDescent="0.3">
      <c r="A5" s="20" t="s">
        <v>18</v>
      </c>
      <c r="B5" s="20" t="s">
        <v>136</v>
      </c>
      <c r="C5" s="20" t="s">
        <v>137</v>
      </c>
      <c r="D5" s="21" t="s">
        <v>138</v>
      </c>
      <c r="E5" s="21" t="s">
        <v>139</v>
      </c>
      <c r="F5" s="21" t="s">
        <v>140</v>
      </c>
      <c r="G5" s="22">
        <v>2025</v>
      </c>
      <c r="H5" s="20" t="s">
        <v>67</v>
      </c>
      <c r="I5" s="23"/>
      <c r="J5" s="20" t="s">
        <v>80</v>
      </c>
      <c r="K5" s="24">
        <f t="shared" si="0"/>
        <v>12</v>
      </c>
      <c r="L5" s="24">
        <f t="shared" si="1"/>
        <v>25</v>
      </c>
      <c r="M5" s="24">
        <f>IFERROR(INDEX(Methodology!$B$27:$B$36,MATCH(J5,Methodology!$A$27:$A$36,0)),12)</f>
        <v>14</v>
      </c>
      <c r="N5" s="24">
        <f>IF(COUNTIF(Infrastructure!$A:$A,A5)&gt;=4,15,IF(COUNTIF(Infrastructure!$A:$A,A5)&gt;=2,10,IF(COUNTIF(Infrastructure!$A:$A,A5)&gt;=1,5,0)))</f>
        <v>10</v>
      </c>
      <c r="O5" s="25">
        <f t="shared" si="2"/>
        <v>61</v>
      </c>
      <c r="P5" s="25" t="str">
        <f t="shared" si="3"/>
        <v>Medium</v>
      </c>
      <c r="Q5" s="21" t="s">
        <v>141</v>
      </c>
      <c r="R5" s="20" t="s">
        <v>142</v>
      </c>
      <c r="S5" s="20" t="s">
        <v>143</v>
      </c>
    </row>
    <row r="6" spans="1:19" ht="30" customHeight="1" x14ac:dyDescent="0.3">
      <c r="A6" s="20" t="s">
        <v>18</v>
      </c>
      <c r="B6" s="20" t="s">
        <v>144</v>
      </c>
      <c r="C6" s="20" t="s">
        <v>128</v>
      </c>
      <c r="D6" s="21" t="s">
        <v>145</v>
      </c>
      <c r="E6" s="21" t="s">
        <v>146</v>
      </c>
      <c r="F6" s="21" t="s">
        <v>147</v>
      </c>
      <c r="G6" s="22">
        <v>2024</v>
      </c>
      <c r="H6" s="20" t="s">
        <v>148</v>
      </c>
      <c r="I6" s="23">
        <v>27</v>
      </c>
      <c r="J6" s="20" t="s">
        <v>82</v>
      </c>
      <c r="K6" s="24">
        <f t="shared" si="0"/>
        <v>32</v>
      </c>
      <c r="L6" s="24">
        <f t="shared" si="1"/>
        <v>25</v>
      </c>
      <c r="M6" s="24">
        <f>IFERROR(INDEX(Methodology!$B$27:$B$36,MATCH(J6,Methodology!$A$27:$A$36,0)),12)</f>
        <v>12</v>
      </c>
      <c r="N6" s="24">
        <f>IF(COUNTIF(Infrastructure!$A:$A,A6)&gt;=4,15,IF(COUNTIF(Infrastructure!$A:$A,A6)&gt;=2,10,IF(COUNTIF(Infrastructure!$A:$A,A6)&gt;=1,5,0)))</f>
        <v>10</v>
      </c>
      <c r="O6" s="25">
        <f t="shared" si="2"/>
        <v>79</v>
      </c>
      <c r="P6" s="25" t="str">
        <f t="shared" si="3"/>
        <v>High</v>
      </c>
      <c r="Q6" s="21" t="s">
        <v>149</v>
      </c>
      <c r="R6" s="20" t="s">
        <v>150</v>
      </c>
      <c r="S6" s="20" t="s">
        <v>151</v>
      </c>
    </row>
    <row r="7" spans="1:19" ht="30" customHeight="1" x14ac:dyDescent="0.3">
      <c r="A7" s="20" t="s">
        <v>20</v>
      </c>
      <c r="B7" s="20" t="s">
        <v>152</v>
      </c>
      <c r="C7" s="20" t="s">
        <v>119</v>
      </c>
      <c r="D7" s="21" t="s">
        <v>153</v>
      </c>
      <c r="E7" s="21" t="s">
        <v>154</v>
      </c>
      <c r="F7" s="21" t="s">
        <v>155</v>
      </c>
      <c r="G7" s="22">
        <v>2019</v>
      </c>
      <c r="H7" s="20" t="s">
        <v>156</v>
      </c>
      <c r="I7" s="23">
        <v>5</v>
      </c>
      <c r="J7" s="20" t="s">
        <v>76</v>
      </c>
      <c r="K7" s="24">
        <f t="shared" si="0"/>
        <v>24</v>
      </c>
      <c r="L7" s="24">
        <f t="shared" si="1"/>
        <v>5</v>
      </c>
      <c r="M7" s="24">
        <f>IFERROR(INDEX(Methodology!$B$27:$B$36,MATCH(J7,Methodology!$A$27:$A$36,0)),12)</f>
        <v>20</v>
      </c>
      <c r="N7" s="24">
        <f>IF(COUNTIF(Infrastructure!$A:$A,A7)&gt;=4,15,IF(COUNTIF(Infrastructure!$A:$A,A7)&gt;=2,10,IF(COUNTIF(Infrastructure!$A:$A,A7)&gt;=1,5,0)))</f>
        <v>10</v>
      </c>
      <c r="O7" s="25">
        <f t="shared" si="2"/>
        <v>59</v>
      </c>
      <c r="P7" s="25" t="str">
        <f t="shared" si="3"/>
        <v>Medium</v>
      </c>
      <c r="Q7" s="21" t="s">
        <v>157</v>
      </c>
      <c r="R7" s="20" t="s">
        <v>158</v>
      </c>
      <c r="S7" s="20" t="s">
        <v>159</v>
      </c>
    </row>
    <row r="8" spans="1:19" ht="30" customHeight="1" x14ac:dyDescent="0.3">
      <c r="A8" s="20" t="s">
        <v>20</v>
      </c>
      <c r="B8" s="20" t="s">
        <v>160</v>
      </c>
      <c r="C8" s="20" t="s">
        <v>119</v>
      </c>
      <c r="D8" s="21" t="s">
        <v>161</v>
      </c>
      <c r="E8" s="21" t="s">
        <v>162</v>
      </c>
      <c r="F8" s="21" t="s">
        <v>163</v>
      </c>
      <c r="G8" s="22">
        <v>2024</v>
      </c>
      <c r="H8" s="20" t="s">
        <v>164</v>
      </c>
      <c r="I8" s="23">
        <v>12700</v>
      </c>
      <c r="J8" s="20" t="s">
        <v>76</v>
      </c>
      <c r="K8" s="24">
        <f t="shared" si="0"/>
        <v>40</v>
      </c>
      <c r="L8" s="24">
        <f t="shared" si="1"/>
        <v>25</v>
      </c>
      <c r="M8" s="24">
        <f>IFERROR(INDEX(Methodology!$B$27:$B$36,MATCH(J8,Methodology!$A$27:$A$36,0)),12)</f>
        <v>20</v>
      </c>
      <c r="N8" s="24">
        <f>IF(COUNTIF(Infrastructure!$A:$A,A8)&gt;=4,15,IF(COUNTIF(Infrastructure!$A:$A,A8)&gt;=2,10,IF(COUNTIF(Infrastructure!$A:$A,A8)&gt;=1,5,0)))</f>
        <v>10</v>
      </c>
      <c r="O8" s="25">
        <f t="shared" si="2"/>
        <v>95</v>
      </c>
      <c r="P8" s="25" t="str">
        <f t="shared" si="3"/>
        <v>High</v>
      </c>
      <c r="Q8" s="21" t="s">
        <v>165</v>
      </c>
      <c r="R8" s="20" t="s">
        <v>166</v>
      </c>
      <c r="S8" s="20" t="s">
        <v>167</v>
      </c>
    </row>
    <row r="9" spans="1:19" ht="30" customHeight="1" x14ac:dyDescent="0.3">
      <c r="A9" s="20" t="s">
        <v>20</v>
      </c>
      <c r="B9" s="20" t="s">
        <v>168</v>
      </c>
      <c r="C9" s="20" t="s">
        <v>137</v>
      </c>
      <c r="D9" s="21" t="s">
        <v>169</v>
      </c>
      <c r="E9" s="21" t="s">
        <v>170</v>
      </c>
      <c r="F9" s="21" t="s">
        <v>171</v>
      </c>
      <c r="G9" s="22">
        <v>2021</v>
      </c>
      <c r="H9" s="20" t="s">
        <v>172</v>
      </c>
      <c r="I9" s="23">
        <v>3000</v>
      </c>
      <c r="J9" s="20" t="s">
        <v>80</v>
      </c>
      <c r="K9" s="24">
        <f t="shared" si="0"/>
        <v>40</v>
      </c>
      <c r="L9" s="24">
        <f t="shared" si="1"/>
        <v>14</v>
      </c>
      <c r="M9" s="24">
        <f>IFERROR(INDEX(Methodology!$B$27:$B$36,MATCH(J9,Methodology!$A$27:$A$36,0)),12)</f>
        <v>14</v>
      </c>
      <c r="N9" s="24">
        <f>IF(COUNTIF(Infrastructure!$A:$A,A9)&gt;=4,15,IF(COUNTIF(Infrastructure!$A:$A,A9)&gt;=2,10,IF(COUNTIF(Infrastructure!$A:$A,A9)&gt;=1,5,0)))</f>
        <v>10</v>
      </c>
      <c r="O9" s="25">
        <f t="shared" si="2"/>
        <v>78</v>
      </c>
      <c r="P9" s="25" t="str">
        <f t="shared" si="3"/>
        <v>High</v>
      </c>
      <c r="Q9" s="21" t="s">
        <v>173</v>
      </c>
      <c r="R9" s="20" t="s">
        <v>174</v>
      </c>
      <c r="S9" s="20" t="s">
        <v>175</v>
      </c>
    </row>
    <row r="10" spans="1:19" ht="30" customHeight="1" x14ac:dyDescent="0.3">
      <c r="A10" s="20" t="s">
        <v>20</v>
      </c>
      <c r="B10" s="20" t="s">
        <v>176</v>
      </c>
      <c r="C10" s="20" t="s">
        <v>128</v>
      </c>
      <c r="D10" s="21" t="s">
        <v>177</v>
      </c>
      <c r="E10" s="21" t="s">
        <v>178</v>
      </c>
      <c r="F10" s="21" t="s">
        <v>179</v>
      </c>
      <c r="G10" s="22">
        <v>2024</v>
      </c>
      <c r="H10" s="20" t="s">
        <v>180</v>
      </c>
      <c r="I10" s="23">
        <v>50</v>
      </c>
      <c r="J10" s="20" t="s">
        <v>77</v>
      </c>
      <c r="K10" s="24">
        <f t="shared" si="0"/>
        <v>32</v>
      </c>
      <c r="L10" s="24">
        <f t="shared" si="1"/>
        <v>25</v>
      </c>
      <c r="M10" s="24">
        <f>IFERROR(INDEX(Methodology!$B$27:$B$36,MATCH(J10,Methodology!$A$27:$A$36,0)),12)</f>
        <v>20</v>
      </c>
      <c r="N10" s="24">
        <f>IF(COUNTIF(Infrastructure!$A:$A,A10)&gt;=4,15,IF(COUNTIF(Infrastructure!$A:$A,A10)&gt;=2,10,IF(COUNTIF(Infrastructure!$A:$A,A10)&gt;=1,5,0)))</f>
        <v>10</v>
      </c>
      <c r="O10" s="25">
        <f t="shared" si="2"/>
        <v>87</v>
      </c>
      <c r="P10" s="25" t="str">
        <f t="shared" si="3"/>
        <v>High</v>
      </c>
      <c r="Q10" s="21" t="s">
        <v>181</v>
      </c>
      <c r="R10" s="20" t="s">
        <v>182</v>
      </c>
      <c r="S10" s="20" t="s">
        <v>183</v>
      </c>
    </row>
    <row r="11" spans="1:19" ht="30" customHeight="1" x14ac:dyDescent="0.3">
      <c r="A11" s="20" t="s">
        <v>22</v>
      </c>
      <c r="B11" s="20" t="s">
        <v>184</v>
      </c>
      <c r="C11" s="20" t="s">
        <v>119</v>
      </c>
      <c r="D11" s="21" t="s">
        <v>185</v>
      </c>
      <c r="E11" s="21" t="s">
        <v>186</v>
      </c>
      <c r="F11" s="21" t="s">
        <v>187</v>
      </c>
      <c r="G11" s="22">
        <v>2027</v>
      </c>
      <c r="H11" s="20" t="s">
        <v>188</v>
      </c>
      <c r="I11" s="23">
        <v>300</v>
      </c>
      <c r="J11" s="20" t="s">
        <v>76</v>
      </c>
      <c r="K11" s="24">
        <f t="shared" si="0"/>
        <v>40</v>
      </c>
      <c r="L11" s="24">
        <f t="shared" si="1"/>
        <v>25</v>
      </c>
      <c r="M11" s="24">
        <f>IFERROR(INDEX(Methodology!$B$27:$B$36,MATCH(J11,Methodology!$A$27:$A$36,0)),12)</f>
        <v>20</v>
      </c>
      <c r="N11" s="24">
        <f>IF(COUNTIF(Infrastructure!$A:$A,A11)&gt;=4,15,IF(COUNTIF(Infrastructure!$A:$A,A11)&gt;=2,10,IF(COUNTIF(Infrastructure!$A:$A,A11)&gt;=1,5,0)))</f>
        <v>10</v>
      </c>
      <c r="O11" s="25">
        <f t="shared" si="2"/>
        <v>95</v>
      </c>
      <c r="P11" s="25" t="str">
        <f t="shared" si="3"/>
        <v>High</v>
      </c>
      <c r="Q11" s="21" t="s">
        <v>189</v>
      </c>
      <c r="R11" s="20" t="s">
        <v>190</v>
      </c>
      <c r="S11" s="26">
        <v>45265</v>
      </c>
    </row>
    <row r="12" spans="1:19" ht="30" customHeight="1" x14ac:dyDescent="0.3">
      <c r="A12" s="20" t="s">
        <v>22</v>
      </c>
      <c r="B12" s="20" t="s">
        <v>192</v>
      </c>
      <c r="C12" s="20" t="s">
        <v>137</v>
      </c>
      <c r="D12" s="21" t="s">
        <v>193</v>
      </c>
      <c r="E12" s="21" t="s">
        <v>194</v>
      </c>
      <c r="F12" s="21" t="s">
        <v>195</v>
      </c>
      <c r="G12" s="22">
        <v>2022</v>
      </c>
      <c r="H12" s="20" t="s">
        <v>196</v>
      </c>
      <c r="I12" s="23">
        <v>6100</v>
      </c>
      <c r="J12" s="20" t="s">
        <v>80</v>
      </c>
      <c r="K12" s="24">
        <f t="shared" si="0"/>
        <v>40</v>
      </c>
      <c r="L12" s="24">
        <f t="shared" si="1"/>
        <v>20</v>
      </c>
      <c r="M12" s="24">
        <f>IFERROR(INDEX(Methodology!$B$27:$B$36,MATCH(J12,Methodology!$A$27:$A$36,0)),12)</f>
        <v>14</v>
      </c>
      <c r="N12" s="24">
        <f>IF(COUNTIF(Infrastructure!$A:$A,A12)&gt;=4,15,IF(COUNTIF(Infrastructure!$A:$A,A12)&gt;=2,10,IF(COUNTIF(Infrastructure!$A:$A,A12)&gt;=1,5,0)))</f>
        <v>10</v>
      </c>
      <c r="O12" s="25">
        <f t="shared" si="2"/>
        <v>84</v>
      </c>
      <c r="P12" s="25" t="str">
        <f t="shared" si="3"/>
        <v>High</v>
      </c>
      <c r="Q12" s="21" t="s">
        <v>197</v>
      </c>
      <c r="R12" s="20" t="s">
        <v>198</v>
      </c>
      <c r="S12" s="20" t="s">
        <v>199</v>
      </c>
    </row>
    <row r="13" spans="1:19" ht="30" customHeight="1" x14ac:dyDescent="0.3">
      <c r="A13" s="20" t="s">
        <v>22</v>
      </c>
      <c r="B13" s="20" t="s">
        <v>200</v>
      </c>
      <c r="C13" s="20" t="s">
        <v>201</v>
      </c>
      <c r="D13" s="21" t="s">
        <v>202</v>
      </c>
      <c r="E13" s="21" t="s">
        <v>203</v>
      </c>
      <c r="F13" s="21" t="s">
        <v>204</v>
      </c>
      <c r="G13" s="22">
        <v>2025</v>
      </c>
      <c r="H13" s="20" t="s">
        <v>67</v>
      </c>
      <c r="I13" s="23"/>
      <c r="J13" s="20" t="s">
        <v>84</v>
      </c>
      <c r="K13" s="24">
        <f t="shared" si="0"/>
        <v>12</v>
      </c>
      <c r="L13" s="24">
        <f t="shared" si="1"/>
        <v>25</v>
      </c>
      <c r="M13" s="24">
        <f>IFERROR(INDEX(Methodology!$B$27:$B$36,MATCH(J13,Methodology!$A$27:$A$36,0)),12)</f>
        <v>8</v>
      </c>
      <c r="N13" s="24">
        <f>IF(COUNTIF(Infrastructure!$A:$A,A13)&gt;=4,15,IF(COUNTIF(Infrastructure!$A:$A,A13)&gt;=2,10,IF(COUNTIF(Infrastructure!$A:$A,A13)&gt;=1,5,0)))</f>
        <v>10</v>
      </c>
      <c r="O13" s="25">
        <f t="shared" si="2"/>
        <v>55</v>
      </c>
      <c r="P13" s="25" t="str">
        <f t="shared" si="3"/>
        <v>Medium</v>
      </c>
      <c r="Q13" s="21" t="s">
        <v>205</v>
      </c>
      <c r="R13" s="20" t="s">
        <v>206</v>
      </c>
      <c r="S13" s="26">
        <v>45149</v>
      </c>
    </row>
    <row r="14" spans="1:19" ht="30" customHeight="1" x14ac:dyDescent="0.3">
      <c r="A14" s="20" t="s">
        <v>22</v>
      </c>
      <c r="B14" s="20" t="s">
        <v>207</v>
      </c>
      <c r="C14" s="20" t="s">
        <v>128</v>
      </c>
      <c r="D14" s="21" t="s">
        <v>208</v>
      </c>
      <c r="E14" s="21" t="s">
        <v>209</v>
      </c>
      <c r="F14" s="21" t="s">
        <v>210</v>
      </c>
      <c r="G14" s="22">
        <v>2025</v>
      </c>
      <c r="H14" s="20" t="s">
        <v>67</v>
      </c>
      <c r="I14" s="23"/>
      <c r="J14" s="20" t="s">
        <v>82</v>
      </c>
      <c r="K14" s="24">
        <f t="shared" si="0"/>
        <v>12</v>
      </c>
      <c r="L14" s="24">
        <f t="shared" si="1"/>
        <v>25</v>
      </c>
      <c r="M14" s="24">
        <f>IFERROR(INDEX(Methodology!$B$27:$B$36,MATCH(J14,Methodology!$A$27:$A$36,0)),12)</f>
        <v>12</v>
      </c>
      <c r="N14" s="24">
        <f>IF(COUNTIF(Infrastructure!$A:$A,A14)&gt;=4,15,IF(COUNTIF(Infrastructure!$A:$A,A14)&gt;=2,10,IF(COUNTIF(Infrastructure!$A:$A,A14)&gt;=1,5,0)))</f>
        <v>10</v>
      </c>
      <c r="O14" s="25">
        <f t="shared" si="2"/>
        <v>59</v>
      </c>
      <c r="P14" s="25" t="str">
        <f t="shared" si="3"/>
        <v>Medium</v>
      </c>
      <c r="Q14" s="21" t="s">
        <v>211</v>
      </c>
      <c r="R14" s="20" t="s">
        <v>212</v>
      </c>
      <c r="S14" s="26">
        <v>44940</v>
      </c>
    </row>
    <row r="15" spans="1:19" ht="30" customHeight="1" x14ac:dyDescent="0.3">
      <c r="A15" s="20" t="s">
        <v>24</v>
      </c>
      <c r="B15" s="20" t="s">
        <v>213</v>
      </c>
      <c r="C15" s="20" t="s">
        <v>214</v>
      </c>
      <c r="D15" s="21" t="s">
        <v>215</v>
      </c>
      <c r="E15" s="21" t="s">
        <v>216</v>
      </c>
      <c r="F15" s="21" t="s">
        <v>217</v>
      </c>
      <c r="G15" s="22">
        <v>2023</v>
      </c>
      <c r="H15" s="20" t="s">
        <v>218</v>
      </c>
      <c r="I15" s="23">
        <v>105</v>
      </c>
      <c r="J15" s="20" t="s">
        <v>79</v>
      </c>
      <c r="K15" s="24">
        <f t="shared" si="0"/>
        <v>40</v>
      </c>
      <c r="L15" s="24">
        <f t="shared" si="1"/>
        <v>25</v>
      </c>
      <c r="M15" s="24">
        <f>IFERROR(INDEX(Methodology!$B$27:$B$36,MATCH(J15,Methodology!$A$27:$A$36,0)),12)</f>
        <v>16</v>
      </c>
      <c r="N15" s="24">
        <f>IF(COUNTIF(Infrastructure!$A:$A,A15)&gt;=4,15,IF(COUNTIF(Infrastructure!$A:$A,A15)&gt;=2,10,IF(COUNTIF(Infrastructure!$A:$A,A15)&gt;=1,5,0)))</f>
        <v>5</v>
      </c>
      <c r="O15" s="25">
        <f t="shared" si="2"/>
        <v>86</v>
      </c>
      <c r="P15" s="25" t="str">
        <f t="shared" si="3"/>
        <v>High</v>
      </c>
      <c r="Q15" s="21" t="s">
        <v>219</v>
      </c>
      <c r="R15" s="20" t="s">
        <v>220</v>
      </c>
      <c r="S15" s="20" t="s">
        <v>221</v>
      </c>
    </row>
    <row r="16" spans="1:19" ht="30" customHeight="1" x14ac:dyDescent="0.3">
      <c r="A16" s="20" t="s">
        <v>26</v>
      </c>
      <c r="B16" s="20" t="s">
        <v>222</v>
      </c>
      <c r="C16" s="20" t="s">
        <v>119</v>
      </c>
      <c r="D16" s="21" t="s">
        <v>223</v>
      </c>
      <c r="E16" s="21" t="s">
        <v>224</v>
      </c>
      <c r="F16" s="21" t="s">
        <v>225</v>
      </c>
      <c r="G16" s="22">
        <v>2025</v>
      </c>
      <c r="H16" s="20" t="s">
        <v>226</v>
      </c>
      <c r="I16" s="23">
        <v>2500</v>
      </c>
      <c r="J16" s="20" t="s">
        <v>76</v>
      </c>
      <c r="K16" s="24">
        <f t="shared" si="0"/>
        <v>40</v>
      </c>
      <c r="L16" s="24">
        <f t="shared" si="1"/>
        <v>25</v>
      </c>
      <c r="M16" s="24">
        <f>IFERROR(INDEX(Methodology!$B$27:$B$36,MATCH(J16,Methodology!$A$27:$A$36,0)),12)</f>
        <v>20</v>
      </c>
      <c r="N16" s="24">
        <f>IF(COUNTIF(Infrastructure!$A:$A,A16)&gt;=4,15,IF(COUNTIF(Infrastructure!$A:$A,A16)&gt;=2,10,IF(COUNTIF(Infrastructure!$A:$A,A16)&gt;=1,5,0)))</f>
        <v>15</v>
      </c>
      <c r="O16" s="25">
        <f t="shared" si="2"/>
        <v>100</v>
      </c>
      <c r="P16" s="25" t="str">
        <f t="shared" si="3"/>
        <v>High</v>
      </c>
      <c r="Q16" s="21" t="s">
        <v>227</v>
      </c>
      <c r="R16" s="20" t="s">
        <v>228</v>
      </c>
      <c r="S16" s="20" t="s">
        <v>1339</v>
      </c>
    </row>
    <row r="17" spans="1:19" ht="30" customHeight="1" x14ac:dyDescent="0.3">
      <c r="A17" s="20" t="s">
        <v>26</v>
      </c>
      <c r="B17" s="20" t="s">
        <v>229</v>
      </c>
      <c r="C17" s="20" t="s">
        <v>119</v>
      </c>
      <c r="D17" s="21" t="s">
        <v>230</v>
      </c>
      <c r="E17" s="21" t="s">
        <v>231</v>
      </c>
      <c r="F17" s="21" t="s">
        <v>232</v>
      </c>
      <c r="G17" s="22">
        <v>2024</v>
      </c>
      <c r="H17" s="20" t="s">
        <v>67</v>
      </c>
      <c r="I17" s="23"/>
      <c r="J17" s="20" t="s">
        <v>76</v>
      </c>
      <c r="K17" s="24">
        <f t="shared" si="0"/>
        <v>12</v>
      </c>
      <c r="L17" s="24">
        <f t="shared" si="1"/>
        <v>25</v>
      </c>
      <c r="M17" s="24">
        <f>IFERROR(INDEX(Methodology!$B$27:$B$36,MATCH(J17,Methodology!$A$27:$A$36,0)),12)</f>
        <v>20</v>
      </c>
      <c r="N17" s="24">
        <f>IF(COUNTIF(Infrastructure!$A:$A,A17)&gt;=4,15,IF(COUNTIF(Infrastructure!$A:$A,A17)&gt;=2,10,IF(COUNTIF(Infrastructure!$A:$A,A17)&gt;=1,5,0)))</f>
        <v>15</v>
      </c>
      <c r="O17" s="25">
        <f t="shared" si="2"/>
        <v>72</v>
      </c>
      <c r="P17" s="25" t="str">
        <f t="shared" si="3"/>
        <v>High</v>
      </c>
      <c r="Q17" s="21" t="s">
        <v>233</v>
      </c>
      <c r="R17" s="20" t="s">
        <v>234</v>
      </c>
      <c r="S17" s="20" t="s">
        <v>235</v>
      </c>
    </row>
    <row r="18" spans="1:19" ht="30" customHeight="1" x14ac:dyDescent="0.3">
      <c r="A18" s="20" t="s">
        <v>26</v>
      </c>
      <c r="B18" s="20" t="s">
        <v>236</v>
      </c>
      <c r="C18" s="20" t="s">
        <v>119</v>
      </c>
      <c r="D18" s="21" t="s">
        <v>237</v>
      </c>
      <c r="E18" s="21" t="s">
        <v>238</v>
      </c>
      <c r="F18" s="21" t="s">
        <v>239</v>
      </c>
      <c r="G18" s="22">
        <v>2025</v>
      </c>
      <c r="H18" s="20" t="s">
        <v>240</v>
      </c>
      <c r="I18" s="23">
        <v>60</v>
      </c>
      <c r="J18" s="20" t="s">
        <v>76</v>
      </c>
      <c r="K18" s="24">
        <f t="shared" si="0"/>
        <v>32</v>
      </c>
      <c r="L18" s="24">
        <f t="shared" si="1"/>
        <v>25</v>
      </c>
      <c r="M18" s="24">
        <f>IFERROR(INDEX(Methodology!$B$27:$B$36,MATCH(J18,Methodology!$A$27:$A$36,0)),12)</f>
        <v>20</v>
      </c>
      <c r="N18" s="24">
        <f>IF(COUNTIF(Infrastructure!$A:$A,A18)&gt;=4,15,IF(COUNTIF(Infrastructure!$A:$A,A18)&gt;=2,10,IF(COUNTIF(Infrastructure!$A:$A,A18)&gt;=1,5,0)))</f>
        <v>15</v>
      </c>
      <c r="O18" s="25">
        <f t="shared" si="2"/>
        <v>92</v>
      </c>
      <c r="P18" s="25" t="str">
        <f t="shared" si="3"/>
        <v>High</v>
      </c>
      <c r="Q18" s="21" t="s">
        <v>241</v>
      </c>
      <c r="R18" s="20" t="s">
        <v>242</v>
      </c>
      <c r="S18" s="20" t="s">
        <v>1341</v>
      </c>
    </row>
    <row r="19" spans="1:19" ht="30" customHeight="1" x14ac:dyDescent="0.3">
      <c r="A19" s="20" t="s">
        <v>26</v>
      </c>
      <c r="B19" s="20" t="s">
        <v>243</v>
      </c>
      <c r="C19" s="20" t="s">
        <v>137</v>
      </c>
      <c r="D19" s="21" t="s">
        <v>244</v>
      </c>
      <c r="E19" s="21" t="s">
        <v>245</v>
      </c>
      <c r="F19" s="21" t="s">
        <v>246</v>
      </c>
      <c r="G19" s="22">
        <v>2025</v>
      </c>
      <c r="H19" s="20" t="s">
        <v>247</v>
      </c>
      <c r="I19" s="23"/>
      <c r="J19" s="20" t="s">
        <v>80</v>
      </c>
      <c r="K19" s="24">
        <f t="shared" si="0"/>
        <v>12</v>
      </c>
      <c r="L19" s="24">
        <f t="shared" si="1"/>
        <v>25</v>
      </c>
      <c r="M19" s="24">
        <f>IFERROR(INDEX(Methodology!$B$27:$B$36,MATCH(J19,Methodology!$A$27:$A$36,0)),12)</f>
        <v>14</v>
      </c>
      <c r="N19" s="24">
        <f>IF(COUNTIF(Infrastructure!$A:$A,A19)&gt;=4,15,IF(COUNTIF(Infrastructure!$A:$A,A19)&gt;=2,10,IF(COUNTIF(Infrastructure!$A:$A,A19)&gt;=1,5,0)))</f>
        <v>15</v>
      </c>
      <c r="O19" s="25">
        <f t="shared" si="2"/>
        <v>66</v>
      </c>
      <c r="P19" s="25" t="str">
        <f t="shared" si="3"/>
        <v>Medium</v>
      </c>
      <c r="Q19" s="21" t="s">
        <v>248</v>
      </c>
      <c r="R19" s="20" t="s">
        <v>249</v>
      </c>
      <c r="S19" s="20" t="s">
        <v>1340</v>
      </c>
    </row>
    <row r="20" spans="1:19" ht="30" customHeight="1" x14ac:dyDescent="0.3">
      <c r="A20" s="20" t="s">
        <v>26</v>
      </c>
      <c r="B20" s="20" t="s">
        <v>250</v>
      </c>
      <c r="C20" s="20" t="s">
        <v>137</v>
      </c>
      <c r="D20" s="21" t="s">
        <v>251</v>
      </c>
      <c r="E20" s="21" t="s">
        <v>252</v>
      </c>
      <c r="F20" s="21" t="s">
        <v>253</v>
      </c>
      <c r="G20" s="22">
        <v>2024</v>
      </c>
      <c r="H20" s="20" t="s">
        <v>254</v>
      </c>
      <c r="I20" s="23">
        <v>55</v>
      </c>
      <c r="J20" s="20" t="s">
        <v>80</v>
      </c>
      <c r="K20" s="24">
        <f t="shared" si="0"/>
        <v>32</v>
      </c>
      <c r="L20" s="24">
        <f t="shared" si="1"/>
        <v>25</v>
      </c>
      <c r="M20" s="24">
        <f>IFERROR(INDEX(Methodology!$B$27:$B$36,MATCH(J20,Methodology!$A$27:$A$36,0)),12)</f>
        <v>14</v>
      </c>
      <c r="N20" s="24">
        <f>IF(COUNTIF(Infrastructure!$A:$A,A20)&gt;=4,15,IF(COUNTIF(Infrastructure!$A:$A,A20)&gt;=2,10,IF(COUNTIF(Infrastructure!$A:$A,A20)&gt;=1,5,0)))</f>
        <v>15</v>
      </c>
      <c r="O20" s="25">
        <f t="shared" si="2"/>
        <v>86</v>
      </c>
      <c r="P20" s="25" t="str">
        <f t="shared" si="3"/>
        <v>High</v>
      </c>
      <c r="Q20" s="21" t="s">
        <v>255</v>
      </c>
      <c r="R20" s="20" t="s">
        <v>256</v>
      </c>
      <c r="S20" s="20" t="s">
        <v>257</v>
      </c>
    </row>
    <row r="21" spans="1:19" ht="30" customHeight="1" x14ac:dyDescent="0.3">
      <c r="A21" s="20" t="s">
        <v>26</v>
      </c>
      <c r="B21" s="20" t="s">
        <v>258</v>
      </c>
      <c r="C21" s="20" t="s">
        <v>201</v>
      </c>
      <c r="D21" s="21" t="s">
        <v>259</v>
      </c>
      <c r="E21" s="21" t="s">
        <v>260</v>
      </c>
      <c r="F21" s="21" t="s">
        <v>261</v>
      </c>
      <c r="G21" s="22">
        <v>2026</v>
      </c>
      <c r="H21" s="20" t="s">
        <v>67</v>
      </c>
      <c r="I21" s="23"/>
      <c r="J21" s="20" t="s">
        <v>84</v>
      </c>
      <c r="K21" s="24">
        <f t="shared" si="0"/>
        <v>12</v>
      </c>
      <c r="L21" s="24">
        <f t="shared" si="1"/>
        <v>25</v>
      </c>
      <c r="M21" s="24">
        <f>IFERROR(INDEX(Methodology!$B$27:$B$36,MATCH(J21,Methodology!$A$27:$A$36,0)),12)</f>
        <v>8</v>
      </c>
      <c r="N21" s="24">
        <f>IF(COUNTIF(Infrastructure!$A:$A,A21)&gt;=4,15,IF(COUNTIF(Infrastructure!$A:$A,A21)&gt;=2,10,IF(COUNTIF(Infrastructure!$A:$A,A21)&gt;=1,5,0)))</f>
        <v>15</v>
      </c>
      <c r="O21" s="25">
        <f t="shared" si="2"/>
        <v>60</v>
      </c>
      <c r="P21" s="25" t="str">
        <f t="shared" si="3"/>
        <v>Medium</v>
      </c>
      <c r="Q21" s="21" t="s">
        <v>262</v>
      </c>
      <c r="R21" s="20" t="s">
        <v>263</v>
      </c>
      <c r="S21" s="20" t="s">
        <v>264</v>
      </c>
    </row>
    <row r="22" spans="1:19" ht="30" customHeight="1" x14ac:dyDescent="0.3">
      <c r="A22" s="20" t="s">
        <v>26</v>
      </c>
      <c r="B22" s="20" t="s">
        <v>265</v>
      </c>
      <c r="C22" s="20" t="s">
        <v>266</v>
      </c>
      <c r="D22" s="21" t="s">
        <v>267</v>
      </c>
      <c r="E22" s="21" t="s">
        <v>268</v>
      </c>
      <c r="F22" s="21" t="s">
        <v>269</v>
      </c>
      <c r="G22" s="22">
        <v>2024</v>
      </c>
      <c r="H22" s="20" t="s">
        <v>270</v>
      </c>
      <c r="I22" s="23">
        <v>42</v>
      </c>
      <c r="J22" s="20" t="s">
        <v>78</v>
      </c>
      <c r="K22" s="24">
        <f t="shared" si="0"/>
        <v>32</v>
      </c>
      <c r="L22" s="24">
        <f t="shared" si="1"/>
        <v>25</v>
      </c>
      <c r="M22" s="24">
        <f>IFERROR(INDEX(Methodology!$B$27:$B$36,MATCH(J22,Methodology!$A$27:$A$36,0)),12)</f>
        <v>18</v>
      </c>
      <c r="N22" s="24">
        <f>IF(COUNTIF(Infrastructure!$A:$A,A22)&gt;=4,15,IF(COUNTIF(Infrastructure!$A:$A,A22)&gt;=2,10,IF(COUNTIF(Infrastructure!$A:$A,A22)&gt;=1,5,0)))</f>
        <v>15</v>
      </c>
      <c r="O22" s="25">
        <f t="shared" si="2"/>
        <v>90</v>
      </c>
      <c r="P22" s="25" t="str">
        <f t="shared" si="3"/>
        <v>High</v>
      </c>
      <c r="Q22" s="21" t="s">
        <v>271</v>
      </c>
      <c r="R22" s="20" t="s">
        <v>272</v>
      </c>
      <c r="S22" s="20" t="s">
        <v>273</v>
      </c>
    </row>
    <row r="23" spans="1:19" ht="30" customHeight="1" x14ac:dyDescent="0.3">
      <c r="A23" s="20" t="s">
        <v>26</v>
      </c>
      <c r="B23" s="20" t="s">
        <v>274</v>
      </c>
      <c r="C23" s="20" t="s">
        <v>266</v>
      </c>
      <c r="D23" s="21" t="s">
        <v>275</v>
      </c>
      <c r="E23" s="21" t="s">
        <v>276</v>
      </c>
      <c r="F23" s="21" t="s">
        <v>277</v>
      </c>
      <c r="G23" s="22">
        <v>2025</v>
      </c>
      <c r="H23" s="20" t="s">
        <v>67</v>
      </c>
      <c r="I23" s="23"/>
      <c r="J23" s="20" t="s">
        <v>78</v>
      </c>
      <c r="K23" s="24">
        <f t="shared" si="0"/>
        <v>12</v>
      </c>
      <c r="L23" s="24">
        <f t="shared" si="1"/>
        <v>25</v>
      </c>
      <c r="M23" s="24">
        <f>IFERROR(INDEX(Methodology!$B$27:$B$36,MATCH(J23,Methodology!$A$27:$A$36,0)),12)</f>
        <v>18</v>
      </c>
      <c r="N23" s="24">
        <f>IF(COUNTIF(Infrastructure!$A:$A,A23)&gt;=4,15,IF(COUNTIF(Infrastructure!$A:$A,A23)&gt;=2,10,IF(COUNTIF(Infrastructure!$A:$A,A23)&gt;=1,5,0)))</f>
        <v>15</v>
      </c>
      <c r="O23" s="25">
        <f t="shared" si="2"/>
        <v>70</v>
      </c>
      <c r="P23" s="25" t="str">
        <f t="shared" si="3"/>
        <v>High</v>
      </c>
      <c r="Q23" s="21" t="s">
        <v>278</v>
      </c>
      <c r="R23" s="20" t="s">
        <v>279</v>
      </c>
      <c r="S23" s="27">
        <v>44927</v>
      </c>
    </row>
    <row r="24" spans="1:19" ht="30" customHeight="1" x14ac:dyDescent="0.3">
      <c r="A24" s="20" t="s">
        <v>26</v>
      </c>
      <c r="B24" s="20" t="s">
        <v>280</v>
      </c>
      <c r="C24" s="20" t="s">
        <v>128</v>
      </c>
      <c r="D24" s="21" t="s">
        <v>281</v>
      </c>
      <c r="E24" s="21" t="s">
        <v>282</v>
      </c>
      <c r="F24" s="21" t="s">
        <v>283</v>
      </c>
      <c r="G24" s="22">
        <v>2026</v>
      </c>
      <c r="H24" s="20" t="s">
        <v>67</v>
      </c>
      <c r="I24" s="23"/>
      <c r="J24" s="20" t="s">
        <v>83</v>
      </c>
      <c r="K24" s="24">
        <f t="shared" si="0"/>
        <v>12</v>
      </c>
      <c r="L24" s="24">
        <f t="shared" si="1"/>
        <v>25</v>
      </c>
      <c r="M24" s="24">
        <f>IFERROR(INDEX(Methodology!$B$27:$B$36,MATCH(J24,Methodology!$A$27:$A$36,0)),12)</f>
        <v>10</v>
      </c>
      <c r="N24" s="24">
        <f>IF(COUNTIF(Infrastructure!$A:$A,A24)&gt;=4,15,IF(COUNTIF(Infrastructure!$A:$A,A24)&gt;=2,10,IF(COUNTIF(Infrastructure!$A:$A,A24)&gt;=1,5,0)))</f>
        <v>15</v>
      </c>
      <c r="O24" s="25">
        <f t="shared" si="2"/>
        <v>62</v>
      </c>
      <c r="P24" s="25" t="str">
        <f t="shared" si="3"/>
        <v>Medium</v>
      </c>
      <c r="Q24" s="21" t="s">
        <v>284</v>
      </c>
      <c r="R24" s="20" t="s">
        <v>285</v>
      </c>
      <c r="S24" s="20" t="s">
        <v>1342</v>
      </c>
    </row>
    <row r="25" spans="1:19" ht="30" customHeight="1" x14ac:dyDescent="0.3">
      <c r="A25" s="20" t="s">
        <v>26</v>
      </c>
      <c r="B25" s="20" t="s">
        <v>286</v>
      </c>
      <c r="C25" s="20" t="s">
        <v>128</v>
      </c>
      <c r="D25" s="21" t="s">
        <v>287</v>
      </c>
      <c r="E25" s="21" t="s">
        <v>288</v>
      </c>
      <c r="F25" s="21" t="s">
        <v>289</v>
      </c>
      <c r="G25" s="22">
        <v>2023</v>
      </c>
      <c r="H25" s="20" t="s">
        <v>67</v>
      </c>
      <c r="I25" s="23"/>
      <c r="J25" s="20" t="s">
        <v>77</v>
      </c>
      <c r="K25" s="24">
        <f t="shared" si="0"/>
        <v>12</v>
      </c>
      <c r="L25" s="24">
        <f t="shared" si="1"/>
        <v>25</v>
      </c>
      <c r="M25" s="24">
        <f>IFERROR(INDEX(Methodology!$B$27:$B$36,MATCH(J25,Methodology!$A$27:$A$36,0)),12)</f>
        <v>20</v>
      </c>
      <c r="N25" s="24">
        <f>IF(COUNTIF(Infrastructure!$A:$A,A25)&gt;=4,15,IF(COUNTIF(Infrastructure!$A:$A,A25)&gt;=2,10,IF(COUNTIF(Infrastructure!$A:$A,A25)&gt;=1,5,0)))</f>
        <v>15</v>
      </c>
      <c r="O25" s="25">
        <f t="shared" si="2"/>
        <v>72</v>
      </c>
      <c r="P25" s="25" t="str">
        <f t="shared" si="3"/>
        <v>High</v>
      </c>
      <c r="Q25" s="21" t="s">
        <v>290</v>
      </c>
      <c r="R25" s="20" t="s">
        <v>291</v>
      </c>
      <c r="S25" s="20" t="s">
        <v>292</v>
      </c>
    </row>
    <row r="26" spans="1:19" ht="30" customHeight="1" x14ac:dyDescent="0.3">
      <c r="A26" s="20" t="s">
        <v>26</v>
      </c>
      <c r="B26" s="20" t="s">
        <v>293</v>
      </c>
      <c r="C26" s="20" t="s">
        <v>128</v>
      </c>
      <c r="D26" s="21" t="s">
        <v>294</v>
      </c>
      <c r="E26" s="21" t="s">
        <v>295</v>
      </c>
      <c r="F26" s="21" t="s">
        <v>296</v>
      </c>
      <c r="G26" s="22">
        <v>2025</v>
      </c>
      <c r="H26" s="20" t="s">
        <v>297</v>
      </c>
      <c r="I26" s="23">
        <v>138</v>
      </c>
      <c r="J26" s="20" t="s">
        <v>82</v>
      </c>
      <c r="K26" s="24">
        <f t="shared" si="0"/>
        <v>40</v>
      </c>
      <c r="L26" s="24">
        <f t="shared" si="1"/>
        <v>25</v>
      </c>
      <c r="M26" s="24">
        <f>IFERROR(INDEX(Methodology!$B$27:$B$36,MATCH(J26,Methodology!$A$27:$A$36,0)),12)</f>
        <v>12</v>
      </c>
      <c r="N26" s="24">
        <f>IF(COUNTIF(Infrastructure!$A:$A,A26)&gt;=4,15,IF(COUNTIF(Infrastructure!$A:$A,A26)&gt;=2,10,IF(COUNTIF(Infrastructure!$A:$A,A26)&gt;=1,5,0)))</f>
        <v>15</v>
      </c>
      <c r="O26" s="25">
        <f t="shared" si="2"/>
        <v>92</v>
      </c>
      <c r="P26" s="25" t="str">
        <f t="shared" si="3"/>
        <v>High</v>
      </c>
      <c r="Q26" s="21" t="s">
        <v>298</v>
      </c>
      <c r="R26" s="20" t="s">
        <v>299</v>
      </c>
      <c r="S26" s="20" t="s">
        <v>1343</v>
      </c>
    </row>
    <row r="27" spans="1:19" ht="30" customHeight="1" x14ac:dyDescent="0.3">
      <c r="A27" s="20" t="s">
        <v>26</v>
      </c>
      <c r="B27" s="20" t="s">
        <v>300</v>
      </c>
      <c r="C27" s="20" t="s">
        <v>214</v>
      </c>
      <c r="D27" s="21" t="s">
        <v>301</v>
      </c>
      <c r="E27" s="21" t="s">
        <v>302</v>
      </c>
      <c r="F27" s="21" t="s">
        <v>303</v>
      </c>
      <c r="G27" s="22">
        <v>2024</v>
      </c>
      <c r="H27" s="20" t="s">
        <v>67</v>
      </c>
      <c r="I27" s="23"/>
      <c r="J27" s="20" t="s">
        <v>79</v>
      </c>
      <c r="K27" s="24">
        <f t="shared" si="0"/>
        <v>12</v>
      </c>
      <c r="L27" s="24">
        <f t="shared" si="1"/>
        <v>25</v>
      </c>
      <c r="M27" s="24">
        <f>IFERROR(INDEX(Methodology!$B$27:$B$36,MATCH(J27,Methodology!$A$27:$A$36,0)),12)</f>
        <v>16</v>
      </c>
      <c r="N27" s="24">
        <f>IF(COUNTIF(Infrastructure!$A:$A,A27)&gt;=4,15,IF(COUNTIF(Infrastructure!$A:$A,A27)&gt;=2,10,IF(COUNTIF(Infrastructure!$A:$A,A27)&gt;=1,5,0)))</f>
        <v>15</v>
      </c>
      <c r="O27" s="25">
        <f t="shared" si="2"/>
        <v>68</v>
      </c>
      <c r="P27" s="25" t="str">
        <f t="shared" si="3"/>
        <v>Medium</v>
      </c>
      <c r="Q27" s="21" t="s">
        <v>304</v>
      </c>
      <c r="R27" s="20" t="s">
        <v>305</v>
      </c>
      <c r="S27" s="20" t="s">
        <v>306</v>
      </c>
    </row>
    <row r="28" spans="1:19" ht="30" customHeight="1" x14ac:dyDescent="0.3">
      <c r="A28" s="20" t="s">
        <v>28</v>
      </c>
      <c r="B28" s="20" t="s">
        <v>307</v>
      </c>
      <c r="C28" s="20" t="s">
        <v>119</v>
      </c>
      <c r="D28" s="21" t="s">
        <v>308</v>
      </c>
      <c r="E28" s="21" t="s">
        <v>309</v>
      </c>
      <c r="F28" s="21" t="s">
        <v>310</v>
      </c>
      <c r="G28" s="22">
        <v>2024</v>
      </c>
      <c r="H28" s="20" t="s">
        <v>311</v>
      </c>
      <c r="I28" s="23">
        <v>180</v>
      </c>
      <c r="J28" s="20" t="s">
        <v>76</v>
      </c>
      <c r="K28" s="24">
        <f t="shared" si="0"/>
        <v>40</v>
      </c>
      <c r="L28" s="24">
        <f t="shared" si="1"/>
        <v>25</v>
      </c>
      <c r="M28" s="24">
        <f>IFERROR(INDEX(Methodology!$B$27:$B$36,MATCH(J28,Methodology!$A$27:$A$36,0)),12)</f>
        <v>20</v>
      </c>
      <c r="N28" s="24">
        <f>IF(COUNTIF(Infrastructure!$A:$A,A28)&gt;=4,15,IF(COUNTIF(Infrastructure!$A:$A,A28)&gt;=2,10,IF(COUNTIF(Infrastructure!$A:$A,A28)&gt;=1,5,0)))</f>
        <v>15</v>
      </c>
      <c r="O28" s="25">
        <f t="shared" si="2"/>
        <v>100</v>
      </c>
      <c r="P28" s="25" t="str">
        <f t="shared" si="3"/>
        <v>High</v>
      </c>
      <c r="Q28" s="21" t="s">
        <v>312</v>
      </c>
      <c r="R28" s="20" t="s">
        <v>313</v>
      </c>
      <c r="S28" s="20" t="s">
        <v>314</v>
      </c>
    </row>
    <row r="29" spans="1:19" ht="30" customHeight="1" x14ac:dyDescent="0.3">
      <c r="A29" s="20" t="s">
        <v>28</v>
      </c>
      <c r="B29" s="20" t="s">
        <v>315</v>
      </c>
      <c r="C29" s="20" t="s">
        <v>119</v>
      </c>
      <c r="D29" s="21" t="s">
        <v>294</v>
      </c>
      <c r="E29" s="21" t="s">
        <v>316</v>
      </c>
      <c r="F29" s="21" t="s">
        <v>317</v>
      </c>
      <c r="G29" s="22">
        <v>2024</v>
      </c>
      <c r="H29" s="20" t="s">
        <v>318</v>
      </c>
      <c r="I29" s="23">
        <v>220</v>
      </c>
      <c r="J29" s="20" t="s">
        <v>76</v>
      </c>
      <c r="K29" s="24">
        <f t="shared" si="0"/>
        <v>40</v>
      </c>
      <c r="L29" s="24">
        <f t="shared" si="1"/>
        <v>25</v>
      </c>
      <c r="M29" s="24">
        <f>IFERROR(INDEX(Methodology!$B$27:$B$36,MATCH(J29,Methodology!$A$27:$A$36,0)),12)</f>
        <v>20</v>
      </c>
      <c r="N29" s="24">
        <f>IF(COUNTIF(Infrastructure!$A:$A,A29)&gt;=4,15,IF(COUNTIF(Infrastructure!$A:$A,A29)&gt;=2,10,IF(COUNTIF(Infrastructure!$A:$A,A29)&gt;=1,5,0)))</f>
        <v>15</v>
      </c>
      <c r="O29" s="25">
        <f t="shared" si="2"/>
        <v>100</v>
      </c>
      <c r="P29" s="25" t="str">
        <f t="shared" si="3"/>
        <v>High</v>
      </c>
      <c r="Q29" s="21" t="s">
        <v>319</v>
      </c>
      <c r="R29" s="20" t="s">
        <v>320</v>
      </c>
      <c r="S29" s="20" t="s">
        <v>321</v>
      </c>
    </row>
    <row r="30" spans="1:19" ht="30" customHeight="1" x14ac:dyDescent="0.3">
      <c r="A30" s="20" t="s">
        <v>28</v>
      </c>
      <c r="B30" s="20" t="s">
        <v>322</v>
      </c>
      <c r="C30" s="20" t="s">
        <v>119</v>
      </c>
      <c r="D30" s="21" t="s">
        <v>323</v>
      </c>
      <c r="E30" s="21" t="s">
        <v>324</v>
      </c>
      <c r="F30" s="21" t="s">
        <v>325</v>
      </c>
      <c r="G30" s="22">
        <v>2025</v>
      </c>
      <c r="H30" s="20" t="s">
        <v>67</v>
      </c>
      <c r="I30" s="23"/>
      <c r="J30" s="20" t="s">
        <v>76</v>
      </c>
      <c r="K30" s="24">
        <f t="shared" si="0"/>
        <v>12</v>
      </c>
      <c r="L30" s="24">
        <f t="shared" si="1"/>
        <v>25</v>
      </c>
      <c r="M30" s="24">
        <f>IFERROR(INDEX(Methodology!$B$27:$B$36,MATCH(J30,Methodology!$A$27:$A$36,0)),12)</f>
        <v>20</v>
      </c>
      <c r="N30" s="24">
        <f>IF(COUNTIF(Infrastructure!$A:$A,A30)&gt;=4,15,IF(COUNTIF(Infrastructure!$A:$A,A30)&gt;=2,10,IF(COUNTIF(Infrastructure!$A:$A,A30)&gt;=1,5,0)))</f>
        <v>15</v>
      </c>
      <c r="O30" s="25">
        <f t="shared" si="2"/>
        <v>72</v>
      </c>
      <c r="P30" s="25" t="str">
        <f t="shared" si="3"/>
        <v>High</v>
      </c>
      <c r="Q30" s="21" t="s">
        <v>326</v>
      </c>
      <c r="R30" s="20" t="s">
        <v>327</v>
      </c>
      <c r="S30" s="20" t="s">
        <v>328</v>
      </c>
    </row>
    <row r="31" spans="1:19" ht="30" customHeight="1" x14ac:dyDescent="0.3">
      <c r="A31" s="20" t="s">
        <v>28</v>
      </c>
      <c r="B31" s="20" t="s">
        <v>329</v>
      </c>
      <c r="C31" s="20" t="s">
        <v>119</v>
      </c>
      <c r="D31" s="21" t="s">
        <v>330</v>
      </c>
      <c r="E31" s="21" t="s">
        <v>331</v>
      </c>
      <c r="F31" s="21" t="s">
        <v>332</v>
      </c>
      <c r="G31" s="22">
        <v>2026</v>
      </c>
      <c r="H31" s="20" t="s">
        <v>67</v>
      </c>
      <c r="I31" s="23"/>
      <c r="J31" s="20" t="s">
        <v>76</v>
      </c>
      <c r="K31" s="24">
        <f t="shared" si="0"/>
        <v>12</v>
      </c>
      <c r="L31" s="24">
        <f t="shared" si="1"/>
        <v>25</v>
      </c>
      <c r="M31" s="24">
        <f>IFERROR(INDEX(Methodology!$B$27:$B$36,MATCH(J31,Methodology!$A$27:$A$36,0)),12)</f>
        <v>20</v>
      </c>
      <c r="N31" s="24">
        <f>IF(COUNTIF(Infrastructure!$A:$A,A31)&gt;=4,15,IF(COUNTIF(Infrastructure!$A:$A,A31)&gt;=2,10,IF(COUNTIF(Infrastructure!$A:$A,A31)&gt;=1,5,0)))</f>
        <v>15</v>
      </c>
      <c r="O31" s="25">
        <f t="shared" si="2"/>
        <v>72</v>
      </c>
      <c r="P31" s="25" t="str">
        <f t="shared" si="3"/>
        <v>High</v>
      </c>
      <c r="Q31" s="21" t="s">
        <v>333</v>
      </c>
      <c r="R31" s="20" t="s">
        <v>334</v>
      </c>
      <c r="S31" s="20" t="s">
        <v>335</v>
      </c>
    </row>
    <row r="32" spans="1:19" ht="30" customHeight="1" x14ac:dyDescent="0.3">
      <c r="A32" s="20" t="s">
        <v>28</v>
      </c>
      <c r="B32" s="20" t="s">
        <v>336</v>
      </c>
      <c r="C32" s="20" t="s">
        <v>137</v>
      </c>
      <c r="D32" s="21" t="s">
        <v>244</v>
      </c>
      <c r="E32" s="21" t="s">
        <v>337</v>
      </c>
      <c r="F32" s="21" t="s">
        <v>338</v>
      </c>
      <c r="G32" s="22">
        <v>2025</v>
      </c>
      <c r="H32" s="20" t="s">
        <v>339</v>
      </c>
      <c r="I32" s="23"/>
      <c r="J32" s="20" t="s">
        <v>83</v>
      </c>
      <c r="K32" s="24">
        <f t="shared" si="0"/>
        <v>12</v>
      </c>
      <c r="L32" s="24">
        <f t="shared" si="1"/>
        <v>25</v>
      </c>
      <c r="M32" s="24">
        <f>IFERROR(INDEX(Methodology!$B$27:$B$36,MATCH(J32,Methodology!$A$27:$A$36,0)),12)</f>
        <v>10</v>
      </c>
      <c r="N32" s="24">
        <f>IF(COUNTIF(Infrastructure!$A:$A,A32)&gt;=4,15,IF(COUNTIF(Infrastructure!$A:$A,A32)&gt;=2,10,IF(COUNTIF(Infrastructure!$A:$A,A32)&gt;=1,5,0)))</f>
        <v>15</v>
      </c>
      <c r="O32" s="25">
        <f t="shared" si="2"/>
        <v>62</v>
      </c>
      <c r="P32" s="25" t="str">
        <f t="shared" si="3"/>
        <v>Medium</v>
      </c>
      <c r="Q32" s="21" t="s">
        <v>340</v>
      </c>
      <c r="R32" s="20" t="s">
        <v>341</v>
      </c>
      <c r="S32" s="20" t="s">
        <v>342</v>
      </c>
    </row>
    <row r="33" spans="1:19" ht="30" customHeight="1" x14ac:dyDescent="0.3">
      <c r="A33" s="20" t="s">
        <v>28</v>
      </c>
      <c r="B33" s="20" t="s">
        <v>343</v>
      </c>
      <c r="C33" s="20" t="s">
        <v>137</v>
      </c>
      <c r="D33" s="21" t="s">
        <v>344</v>
      </c>
      <c r="E33" s="21" t="s">
        <v>345</v>
      </c>
      <c r="F33" s="21" t="s">
        <v>346</v>
      </c>
      <c r="G33" s="22">
        <v>2026</v>
      </c>
      <c r="H33" s="20" t="s">
        <v>67</v>
      </c>
      <c r="I33" s="23"/>
      <c r="J33" s="20" t="s">
        <v>80</v>
      </c>
      <c r="K33" s="24">
        <f t="shared" si="0"/>
        <v>12</v>
      </c>
      <c r="L33" s="24">
        <f t="shared" si="1"/>
        <v>25</v>
      </c>
      <c r="M33" s="24">
        <f>IFERROR(INDEX(Methodology!$B$27:$B$36,MATCH(J33,Methodology!$A$27:$A$36,0)),12)</f>
        <v>14</v>
      </c>
      <c r="N33" s="24">
        <f>IF(COUNTIF(Infrastructure!$A:$A,A33)&gt;=4,15,IF(COUNTIF(Infrastructure!$A:$A,A33)&gt;=2,10,IF(COUNTIF(Infrastructure!$A:$A,A33)&gt;=1,5,0)))</f>
        <v>15</v>
      </c>
      <c r="O33" s="25">
        <f t="shared" si="2"/>
        <v>66</v>
      </c>
      <c r="P33" s="25" t="str">
        <f t="shared" si="3"/>
        <v>Medium</v>
      </c>
      <c r="Q33" s="21" t="s">
        <v>347</v>
      </c>
      <c r="R33" s="20" t="s">
        <v>348</v>
      </c>
      <c r="S33" s="20" t="s">
        <v>349</v>
      </c>
    </row>
    <row r="34" spans="1:19" ht="30" customHeight="1" x14ac:dyDescent="0.3">
      <c r="A34" s="20" t="s">
        <v>28</v>
      </c>
      <c r="B34" s="20" t="s">
        <v>350</v>
      </c>
      <c r="C34" s="20" t="s">
        <v>201</v>
      </c>
      <c r="D34" s="21" t="s">
        <v>344</v>
      </c>
      <c r="E34" s="21" t="s">
        <v>351</v>
      </c>
      <c r="F34" s="21" t="s">
        <v>352</v>
      </c>
      <c r="G34" s="22">
        <v>2025</v>
      </c>
      <c r="H34" s="20" t="s">
        <v>67</v>
      </c>
      <c r="I34" s="23"/>
      <c r="J34" s="20" t="s">
        <v>84</v>
      </c>
      <c r="K34" s="24">
        <f t="shared" si="0"/>
        <v>12</v>
      </c>
      <c r="L34" s="24">
        <f t="shared" si="1"/>
        <v>25</v>
      </c>
      <c r="M34" s="24">
        <f>IFERROR(INDEX(Methodology!$B$27:$B$36,MATCH(J34,Methodology!$A$27:$A$36,0)),12)</f>
        <v>8</v>
      </c>
      <c r="N34" s="24">
        <f>IF(COUNTIF(Infrastructure!$A:$A,A34)&gt;=4,15,IF(COUNTIF(Infrastructure!$A:$A,A34)&gt;=2,10,IF(COUNTIF(Infrastructure!$A:$A,A34)&gt;=1,5,0)))</f>
        <v>15</v>
      </c>
      <c r="O34" s="25">
        <f t="shared" si="2"/>
        <v>60</v>
      </c>
      <c r="P34" s="25" t="str">
        <f t="shared" si="3"/>
        <v>Medium</v>
      </c>
      <c r="Q34" s="21" t="s">
        <v>353</v>
      </c>
      <c r="R34" s="20" t="s">
        <v>354</v>
      </c>
      <c r="S34" s="20" t="s">
        <v>355</v>
      </c>
    </row>
    <row r="35" spans="1:19" ht="30" customHeight="1" x14ac:dyDescent="0.3">
      <c r="A35" s="20" t="s">
        <v>28</v>
      </c>
      <c r="B35" s="20" t="s">
        <v>356</v>
      </c>
      <c r="C35" s="20" t="s">
        <v>201</v>
      </c>
      <c r="D35" s="21" t="s">
        <v>294</v>
      </c>
      <c r="E35" s="21" t="s">
        <v>357</v>
      </c>
      <c r="F35" s="21" t="s">
        <v>358</v>
      </c>
      <c r="G35" s="22">
        <v>2025</v>
      </c>
      <c r="H35" s="20" t="s">
        <v>67</v>
      </c>
      <c r="I35" s="23"/>
      <c r="J35" s="20" t="s">
        <v>84</v>
      </c>
      <c r="K35" s="24">
        <f t="shared" ref="K35:K66" si="4">IF(I35="",12,IF(I35&gt;=100,40,IF(I35&gt;=20,32,IF(I35&gt;=5,24,IF(I35&gt;=1,16,8)))))</f>
        <v>12</v>
      </c>
      <c r="L35" s="24">
        <f t="shared" ref="L35:L66" si="5">IF(G35="",5,IF(G35&gt;=2023,25,IF(G35&gt;=2022,20,IF(G35&gt;=2021,14,IF(G35&gt;=2020,8,5)))))</f>
        <v>25</v>
      </c>
      <c r="M35" s="24">
        <f>IFERROR(INDEX(Methodology!$B$27:$B$36,MATCH(J35,Methodology!$A$27:$A$36,0)),12)</f>
        <v>8</v>
      </c>
      <c r="N35" s="24">
        <f>IF(COUNTIF(Infrastructure!$A:$A,A35)&gt;=4,15,IF(COUNTIF(Infrastructure!$A:$A,A35)&gt;=2,10,IF(COUNTIF(Infrastructure!$A:$A,A35)&gt;=1,5,0)))</f>
        <v>15</v>
      </c>
      <c r="O35" s="25">
        <f t="shared" ref="O35:O66" si="6">K35+L35+M35+N35</f>
        <v>60</v>
      </c>
      <c r="P35" s="25" t="str">
        <f t="shared" ref="P35:P66" si="7">IF(O35&gt;=70,"High",IF(O35&gt;=50,"Medium","Watch"))</f>
        <v>Medium</v>
      </c>
      <c r="Q35" s="21" t="s">
        <v>359</v>
      </c>
      <c r="R35" s="20" t="s">
        <v>360</v>
      </c>
      <c r="S35" s="20" t="s">
        <v>361</v>
      </c>
    </row>
    <row r="36" spans="1:19" ht="30" customHeight="1" x14ac:dyDescent="0.3">
      <c r="A36" s="20" t="s">
        <v>28</v>
      </c>
      <c r="B36" s="20" t="s">
        <v>362</v>
      </c>
      <c r="C36" s="20" t="s">
        <v>266</v>
      </c>
      <c r="D36" s="21" t="s">
        <v>294</v>
      </c>
      <c r="E36" s="21" t="s">
        <v>363</v>
      </c>
      <c r="F36" s="21" t="s">
        <v>364</v>
      </c>
      <c r="G36" s="22">
        <v>2025</v>
      </c>
      <c r="H36" s="20" t="s">
        <v>365</v>
      </c>
      <c r="I36" s="23">
        <v>10</v>
      </c>
      <c r="J36" s="20" t="s">
        <v>78</v>
      </c>
      <c r="K36" s="24">
        <f t="shared" si="4"/>
        <v>24</v>
      </c>
      <c r="L36" s="24">
        <f t="shared" si="5"/>
        <v>25</v>
      </c>
      <c r="M36" s="24">
        <f>IFERROR(INDEX(Methodology!$B$27:$B$36,MATCH(J36,Methodology!$A$27:$A$36,0)),12)</f>
        <v>18</v>
      </c>
      <c r="N36" s="24">
        <f>IF(COUNTIF(Infrastructure!$A:$A,A36)&gt;=4,15,IF(COUNTIF(Infrastructure!$A:$A,A36)&gt;=2,10,IF(COUNTIF(Infrastructure!$A:$A,A36)&gt;=1,5,0)))</f>
        <v>15</v>
      </c>
      <c r="O36" s="25">
        <f t="shared" si="6"/>
        <v>82</v>
      </c>
      <c r="P36" s="25" t="str">
        <f t="shared" si="7"/>
        <v>High</v>
      </c>
      <c r="Q36" s="21" t="s">
        <v>366</v>
      </c>
      <c r="R36" s="20" t="s">
        <v>367</v>
      </c>
      <c r="S36" s="20" t="s">
        <v>368</v>
      </c>
    </row>
    <row r="37" spans="1:19" ht="30" customHeight="1" x14ac:dyDescent="0.3">
      <c r="A37" s="20" t="s">
        <v>28</v>
      </c>
      <c r="B37" s="20" t="s">
        <v>369</v>
      </c>
      <c r="C37" s="20" t="s">
        <v>128</v>
      </c>
      <c r="D37" s="21" t="s">
        <v>370</v>
      </c>
      <c r="E37" s="21" t="s">
        <v>371</v>
      </c>
      <c r="F37" s="21" t="s">
        <v>372</v>
      </c>
      <c r="G37" s="22">
        <v>2023</v>
      </c>
      <c r="H37" s="20" t="s">
        <v>67</v>
      </c>
      <c r="I37" s="23"/>
      <c r="J37" s="20" t="s">
        <v>81</v>
      </c>
      <c r="K37" s="24">
        <f t="shared" si="4"/>
        <v>12</v>
      </c>
      <c r="L37" s="24">
        <f t="shared" si="5"/>
        <v>25</v>
      </c>
      <c r="M37" s="24">
        <f>IFERROR(INDEX(Methodology!$B$27:$B$36,MATCH(J37,Methodology!$A$27:$A$36,0)),12)</f>
        <v>14</v>
      </c>
      <c r="N37" s="24">
        <f>IF(COUNTIF(Infrastructure!$A:$A,A37)&gt;=4,15,IF(COUNTIF(Infrastructure!$A:$A,A37)&gt;=2,10,IF(COUNTIF(Infrastructure!$A:$A,A37)&gt;=1,5,0)))</f>
        <v>15</v>
      </c>
      <c r="O37" s="25">
        <f t="shared" si="6"/>
        <v>66</v>
      </c>
      <c r="P37" s="25" t="str">
        <f t="shared" si="7"/>
        <v>Medium</v>
      </c>
      <c r="Q37" s="21" t="s">
        <v>373</v>
      </c>
      <c r="R37" s="20" t="s">
        <v>374</v>
      </c>
      <c r="S37" s="20" t="s">
        <v>375</v>
      </c>
    </row>
    <row r="38" spans="1:19" ht="30" customHeight="1" x14ac:dyDescent="0.3">
      <c r="A38" s="20" t="s">
        <v>28</v>
      </c>
      <c r="B38" s="20" t="s">
        <v>376</v>
      </c>
      <c r="C38" s="20" t="s">
        <v>128</v>
      </c>
      <c r="D38" s="21" t="s">
        <v>377</v>
      </c>
      <c r="E38" s="21" t="s">
        <v>378</v>
      </c>
      <c r="F38" s="21" t="s">
        <v>379</v>
      </c>
      <c r="G38" s="22">
        <v>2020</v>
      </c>
      <c r="H38" s="20" t="s">
        <v>380</v>
      </c>
      <c r="I38" s="23">
        <v>173</v>
      </c>
      <c r="J38" s="20" t="s">
        <v>77</v>
      </c>
      <c r="K38" s="24">
        <f t="shared" si="4"/>
        <v>40</v>
      </c>
      <c r="L38" s="24">
        <f t="shared" si="5"/>
        <v>8</v>
      </c>
      <c r="M38" s="24">
        <f>IFERROR(INDEX(Methodology!$B$27:$B$36,MATCH(J38,Methodology!$A$27:$A$36,0)),12)</f>
        <v>20</v>
      </c>
      <c r="N38" s="24">
        <f>IF(COUNTIF(Infrastructure!$A:$A,A38)&gt;=4,15,IF(COUNTIF(Infrastructure!$A:$A,A38)&gt;=2,10,IF(COUNTIF(Infrastructure!$A:$A,A38)&gt;=1,5,0)))</f>
        <v>15</v>
      </c>
      <c r="O38" s="25">
        <f t="shared" si="6"/>
        <v>83</v>
      </c>
      <c r="P38" s="25" t="str">
        <f t="shared" si="7"/>
        <v>High</v>
      </c>
      <c r="Q38" s="21" t="s">
        <v>381</v>
      </c>
      <c r="R38" s="20" t="s">
        <v>382</v>
      </c>
      <c r="S38" s="20" t="s">
        <v>383</v>
      </c>
    </row>
    <row r="39" spans="1:19" ht="30" customHeight="1" x14ac:dyDescent="0.3">
      <c r="A39" s="20" t="s">
        <v>28</v>
      </c>
      <c r="B39" s="20" t="s">
        <v>384</v>
      </c>
      <c r="C39" s="20" t="s">
        <v>128</v>
      </c>
      <c r="D39" s="21" t="s">
        <v>385</v>
      </c>
      <c r="E39" s="21" t="s">
        <v>386</v>
      </c>
      <c r="F39" s="21" t="s">
        <v>387</v>
      </c>
      <c r="G39" s="22">
        <v>2024</v>
      </c>
      <c r="H39" s="20" t="s">
        <v>388</v>
      </c>
      <c r="I39" s="23">
        <v>1000</v>
      </c>
      <c r="J39" s="20" t="s">
        <v>77</v>
      </c>
      <c r="K39" s="24">
        <f t="shared" si="4"/>
        <v>40</v>
      </c>
      <c r="L39" s="24">
        <f t="shared" si="5"/>
        <v>25</v>
      </c>
      <c r="M39" s="24">
        <f>IFERROR(INDEX(Methodology!$B$27:$B$36,MATCH(J39,Methodology!$A$27:$A$36,0)),12)</f>
        <v>20</v>
      </c>
      <c r="N39" s="24">
        <f>IF(COUNTIF(Infrastructure!$A:$A,A39)&gt;=4,15,IF(COUNTIF(Infrastructure!$A:$A,A39)&gt;=2,10,IF(COUNTIF(Infrastructure!$A:$A,A39)&gt;=1,5,0)))</f>
        <v>15</v>
      </c>
      <c r="O39" s="25">
        <f t="shared" si="6"/>
        <v>100</v>
      </c>
      <c r="P39" s="25" t="str">
        <f t="shared" si="7"/>
        <v>High</v>
      </c>
      <c r="Q39" s="21" t="s">
        <v>389</v>
      </c>
      <c r="R39" s="20" t="s">
        <v>390</v>
      </c>
      <c r="S39" s="20" t="s">
        <v>391</v>
      </c>
    </row>
    <row r="40" spans="1:19" ht="30" customHeight="1" x14ac:dyDescent="0.3">
      <c r="A40" s="20" t="s">
        <v>28</v>
      </c>
      <c r="B40" s="20" t="s">
        <v>392</v>
      </c>
      <c r="C40" s="20" t="s">
        <v>214</v>
      </c>
      <c r="D40" s="21" t="s">
        <v>301</v>
      </c>
      <c r="E40" s="21" t="s">
        <v>393</v>
      </c>
      <c r="F40" s="21" t="s">
        <v>394</v>
      </c>
      <c r="G40" s="22">
        <v>2025</v>
      </c>
      <c r="H40" s="20" t="s">
        <v>395</v>
      </c>
      <c r="I40" s="23">
        <v>863</v>
      </c>
      <c r="J40" s="20" t="s">
        <v>79</v>
      </c>
      <c r="K40" s="24">
        <f t="shared" si="4"/>
        <v>40</v>
      </c>
      <c r="L40" s="24">
        <f t="shared" si="5"/>
        <v>25</v>
      </c>
      <c r="M40" s="24">
        <f>IFERROR(INDEX(Methodology!$B$27:$B$36,MATCH(J40,Methodology!$A$27:$A$36,0)),12)</f>
        <v>16</v>
      </c>
      <c r="N40" s="24">
        <f>IF(COUNTIF(Infrastructure!$A:$A,A40)&gt;=4,15,IF(COUNTIF(Infrastructure!$A:$A,A40)&gt;=2,10,IF(COUNTIF(Infrastructure!$A:$A,A40)&gt;=1,5,0)))</f>
        <v>15</v>
      </c>
      <c r="O40" s="25">
        <f t="shared" si="6"/>
        <v>96</v>
      </c>
      <c r="P40" s="25" t="str">
        <f t="shared" si="7"/>
        <v>High</v>
      </c>
      <c r="Q40" s="21" t="s">
        <v>396</v>
      </c>
      <c r="R40" s="20" t="s">
        <v>397</v>
      </c>
      <c r="S40" s="20" t="s">
        <v>398</v>
      </c>
    </row>
    <row r="41" spans="1:19" ht="30" customHeight="1" x14ac:dyDescent="0.3">
      <c r="A41" s="20" t="s">
        <v>28</v>
      </c>
      <c r="B41" s="20" t="s">
        <v>399</v>
      </c>
      <c r="C41" s="20" t="s">
        <v>214</v>
      </c>
      <c r="D41" s="21" t="s">
        <v>400</v>
      </c>
      <c r="E41" s="21" t="s">
        <v>401</v>
      </c>
      <c r="F41" s="21" t="s">
        <v>402</v>
      </c>
      <c r="G41" s="22">
        <v>2025</v>
      </c>
      <c r="H41" s="20" t="s">
        <v>403</v>
      </c>
      <c r="I41" s="23">
        <v>678.6</v>
      </c>
      <c r="J41" s="20" t="s">
        <v>79</v>
      </c>
      <c r="K41" s="24">
        <f t="shared" si="4"/>
        <v>40</v>
      </c>
      <c r="L41" s="24">
        <f t="shared" si="5"/>
        <v>25</v>
      </c>
      <c r="M41" s="24">
        <f>IFERROR(INDEX(Methodology!$B$27:$B$36,MATCH(J41,Methodology!$A$27:$A$36,0)),12)</f>
        <v>16</v>
      </c>
      <c r="N41" s="24">
        <f>IF(COUNTIF(Infrastructure!$A:$A,A41)&gt;=4,15,IF(COUNTIF(Infrastructure!$A:$A,A41)&gt;=2,10,IF(COUNTIF(Infrastructure!$A:$A,A41)&gt;=1,5,0)))</f>
        <v>15</v>
      </c>
      <c r="O41" s="25">
        <f t="shared" si="6"/>
        <v>96</v>
      </c>
      <c r="P41" s="25" t="str">
        <f t="shared" si="7"/>
        <v>High</v>
      </c>
      <c r="Q41" s="21" t="s">
        <v>396</v>
      </c>
      <c r="R41" s="20" t="s">
        <v>397</v>
      </c>
      <c r="S41" s="20" t="s">
        <v>398</v>
      </c>
    </row>
    <row r="42" spans="1:19" ht="30" customHeight="1" x14ac:dyDescent="0.3">
      <c r="A42" s="20" t="s">
        <v>30</v>
      </c>
      <c r="B42" s="20" t="s">
        <v>404</v>
      </c>
      <c r="C42" s="20" t="s">
        <v>119</v>
      </c>
      <c r="D42" s="21" t="s">
        <v>405</v>
      </c>
      <c r="E42" s="21" t="s">
        <v>406</v>
      </c>
      <c r="F42" s="21" t="s">
        <v>407</v>
      </c>
      <c r="G42" s="22">
        <v>2024</v>
      </c>
      <c r="H42" s="20" t="s">
        <v>408</v>
      </c>
      <c r="I42" s="23">
        <v>80</v>
      </c>
      <c r="J42" s="20" t="s">
        <v>76</v>
      </c>
      <c r="K42" s="24">
        <f t="shared" si="4"/>
        <v>32</v>
      </c>
      <c r="L42" s="24">
        <f t="shared" si="5"/>
        <v>25</v>
      </c>
      <c r="M42" s="24">
        <f>IFERROR(INDEX(Methodology!$B$27:$B$36,MATCH(J42,Methodology!$A$27:$A$36,0)),12)</f>
        <v>20</v>
      </c>
      <c r="N42" s="24">
        <f>IF(COUNTIF(Infrastructure!$A:$A,A42)&gt;=4,15,IF(COUNTIF(Infrastructure!$A:$A,A42)&gt;=2,10,IF(COUNTIF(Infrastructure!$A:$A,A42)&gt;=1,5,0)))</f>
        <v>10</v>
      </c>
      <c r="O42" s="25">
        <f t="shared" si="6"/>
        <v>87</v>
      </c>
      <c r="P42" s="25" t="str">
        <f t="shared" si="7"/>
        <v>High</v>
      </c>
      <c r="Q42" s="21" t="s">
        <v>409</v>
      </c>
      <c r="R42" s="20" t="s">
        <v>410</v>
      </c>
      <c r="S42" s="20" t="s">
        <v>411</v>
      </c>
    </row>
    <row r="43" spans="1:19" ht="30" customHeight="1" x14ac:dyDescent="0.3">
      <c r="A43" s="20" t="s">
        <v>30</v>
      </c>
      <c r="B43" s="20" t="s">
        <v>412</v>
      </c>
      <c r="C43" s="20" t="s">
        <v>201</v>
      </c>
      <c r="D43" s="21" t="s">
        <v>413</v>
      </c>
      <c r="E43" s="21" t="s">
        <v>414</v>
      </c>
      <c r="F43" s="21" t="s">
        <v>415</v>
      </c>
      <c r="G43" s="22">
        <v>2021</v>
      </c>
      <c r="H43" s="20" t="s">
        <v>67</v>
      </c>
      <c r="I43" s="23"/>
      <c r="J43" s="20" t="s">
        <v>84</v>
      </c>
      <c r="K43" s="24">
        <f t="shared" si="4"/>
        <v>12</v>
      </c>
      <c r="L43" s="24">
        <f t="shared" si="5"/>
        <v>14</v>
      </c>
      <c r="M43" s="24">
        <f>IFERROR(INDEX(Methodology!$B$27:$B$36,MATCH(J43,Methodology!$A$27:$A$36,0)),12)</f>
        <v>8</v>
      </c>
      <c r="N43" s="24">
        <f>IF(COUNTIF(Infrastructure!$A:$A,A43)&gt;=4,15,IF(COUNTIF(Infrastructure!$A:$A,A43)&gt;=2,10,IF(COUNTIF(Infrastructure!$A:$A,A43)&gt;=1,5,0)))</f>
        <v>10</v>
      </c>
      <c r="O43" s="25">
        <f t="shared" si="6"/>
        <v>44</v>
      </c>
      <c r="P43" s="25" t="str">
        <f t="shared" si="7"/>
        <v>Watch</v>
      </c>
      <c r="Q43" s="21" t="s">
        <v>416</v>
      </c>
      <c r="R43" s="20" t="s">
        <v>417</v>
      </c>
      <c r="S43" s="20" t="s">
        <v>418</v>
      </c>
    </row>
    <row r="44" spans="1:19" ht="30" customHeight="1" x14ac:dyDescent="0.3">
      <c r="A44" s="20" t="s">
        <v>30</v>
      </c>
      <c r="B44" s="20" t="s">
        <v>419</v>
      </c>
      <c r="C44" s="20" t="s">
        <v>128</v>
      </c>
      <c r="D44" s="21" t="s">
        <v>145</v>
      </c>
      <c r="E44" s="21" t="s">
        <v>420</v>
      </c>
      <c r="F44" s="21" t="s">
        <v>421</v>
      </c>
      <c r="G44" s="22">
        <v>2023</v>
      </c>
      <c r="H44" s="20" t="s">
        <v>422</v>
      </c>
      <c r="I44" s="23">
        <v>32.4</v>
      </c>
      <c r="J44" s="20" t="s">
        <v>82</v>
      </c>
      <c r="K44" s="24">
        <f t="shared" si="4"/>
        <v>32</v>
      </c>
      <c r="L44" s="24">
        <f t="shared" si="5"/>
        <v>25</v>
      </c>
      <c r="M44" s="24">
        <f>IFERROR(INDEX(Methodology!$B$27:$B$36,MATCH(J44,Methodology!$A$27:$A$36,0)),12)</f>
        <v>12</v>
      </c>
      <c r="N44" s="24">
        <f>IF(COUNTIF(Infrastructure!$A:$A,A44)&gt;=4,15,IF(COUNTIF(Infrastructure!$A:$A,A44)&gt;=2,10,IF(COUNTIF(Infrastructure!$A:$A,A44)&gt;=1,5,0)))</f>
        <v>10</v>
      </c>
      <c r="O44" s="25">
        <f t="shared" si="6"/>
        <v>79</v>
      </c>
      <c r="P44" s="25" t="str">
        <f t="shared" si="7"/>
        <v>High</v>
      </c>
      <c r="Q44" s="21" t="s">
        <v>423</v>
      </c>
      <c r="R44" s="20" t="s">
        <v>424</v>
      </c>
      <c r="S44" s="20" t="s">
        <v>425</v>
      </c>
    </row>
    <row r="45" spans="1:19" ht="30" customHeight="1" x14ac:dyDescent="0.3">
      <c r="A45" s="20" t="s">
        <v>32</v>
      </c>
      <c r="B45" s="20" t="s">
        <v>426</v>
      </c>
      <c r="C45" s="20" t="s">
        <v>119</v>
      </c>
      <c r="D45" s="21" t="s">
        <v>308</v>
      </c>
      <c r="E45" s="21" t="s">
        <v>427</v>
      </c>
      <c r="F45" s="21" t="s">
        <v>428</v>
      </c>
      <c r="G45" s="22">
        <v>2025</v>
      </c>
      <c r="H45" s="20" t="s">
        <v>429</v>
      </c>
      <c r="I45" s="23">
        <v>100</v>
      </c>
      <c r="J45" s="20" t="s">
        <v>76</v>
      </c>
      <c r="K45" s="24">
        <f t="shared" si="4"/>
        <v>40</v>
      </c>
      <c r="L45" s="24">
        <f t="shared" si="5"/>
        <v>25</v>
      </c>
      <c r="M45" s="24">
        <f>IFERROR(INDEX(Methodology!$B$27:$B$36,MATCH(J45,Methodology!$A$27:$A$36,0)),12)</f>
        <v>20</v>
      </c>
      <c r="N45" s="24">
        <f>IF(COUNTIF(Infrastructure!$A:$A,A45)&gt;=4,15,IF(COUNTIF(Infrastructure!$A:$A,A45)&gt;=2,10,IF(COUNTIF(Infrastructure!$A:$A,A45)&gt;=1,5,0)))</f>
        <v>10</v>
      </c>
      <c r="O45" s="25">
        <f t="shared" si="6"/>
        <v>95</v>
      </c>
      <c r="P45" s="25" t="str">
        <f t="shared" si="7"/>
        <v>High</v>
      </c>
      <c r="Q45" s="21" t="s">
        <v>430</v>
      </c>
      <c r="R45" s="20" t="s">
        <v>431</v>
      </c>
      <c r="S45" s="20" t="s">
        <v>432</v>
      </c>
    </row>
    <row r="46" spans="1:19" ht="30" customHeight="1" x14ac:dyDescent="0.3">
      <c r="A46" s="20" t="s">
        <v>32</v>
      </c>
      <c r="B46" s="20" t="s">
        <v>433</v>
      </c>
      <c r="C46" s="20" t="s">
        <v>119</v>
      </c>
      <c r="D46" s="21" t="s">
        <v>434</v>
      </c>
      <c r="E46" s="21" t="s">
        <v>435</v>
      </c>
      <c r="F46" s="21" t="s">
        <v>436</v>
      </c>
      <c r="G46" s="22">
        <v>2025</v>
      </c>
      <c r="H46" s="20" t="s">
        <v>437</v>
      </c>
      <c r="I46" s="23">
        <v>100</v>
      </c>
      <c r="J46" s="20" t="s">
        <v>76</v>
      </c>
      <c r="K46" s="24">
        <f t="shared" si="4"/>
        <v>40</v>
      </c>
      <c r="L46" s="24">
        <f t="shared" si="5"/>
        <v>25</v>
      </c>
      <c r="M46" s="24">
        <f>IFERROR(INDEX(Methodology!$B$27:$B$36,MATCH(J46,Methodology!$A$27:$A$36,0)),12)</f>
        <v>20</v>
      </c>
      <c r="N46" s="24">
        <f>IF(COUNTIF(Infrastructure!$A:$A,A46)&gt;=4,15,IF(COUNTIF(Infrastructure!$A:$A,A46)&gt;=2,10,IF(COUNTIF(Infrastructure!$A:$A,A46)&gt;=1,5,0)))</f>
        <v>10</v>
      </c>
      <c r="O46" s="25">
        <f t="shared" si="6"/>
        <v>95</v>
      </c>
      <c r="P46" s="25" t="str">
        <f t="shared" si="7"/>
        <v>High</v>
      </c>
      <c r="Q46" s="21" t="s">
        <v>438</v>
      </c>
      <c r="R46" s="20" t="s">
        <v>439</v>
      </c>
      <c r="S46" s="20" t="s">
        <v>191</v>
      </c>
    </row>
    <row r="47" spans="1:19" ht="30" customHeight="1" x14ac:dyDescent="0.3">
      <c r="A47" s="20" t="s">
        <v>32</v>
      </c>
      <c r="B47" s="20" t="s">
        <v>440</v>
      </c>
      <c r="C47" s="20" t="s">
        <v>137</v>
      </c>
      <c r="D47" s="21" t="s">
        <v>441</v>
      </c>
      <c r="E47" s="21" t="s">
        <v>442</v>
      </c>
      <c r="F47" s="21" t="s">
        <v>443</v>
      </c>
      <c r="G47" s="22">
        <v>2021</v>
      </c>
      <c r="H47" s="20" t="s">
        <v>67</v>
      </c>
      <c r="I47" s="23"/>
      <c r="J47" s="20" t="s">
        <v>80</v>
      </c>
      <c r="K47" s="24">
        <f t="shared" si="4"/>
        <v>12</v>
      </c>
      <c r="L47" s="24">
        <f t="shared" si="5"/>
        <v>14</v>
      </c>
      <c r="M47" s="24">
        <f>IFERROR(INDEX(Methodology!$B$27:$B$36,MATCH(J47,Methodology!$A$27:$A$36,0)),12)</f>
        <v>14</v>
      </c>
      <c r="N47" s="24">
        <f>IF(COUNTIF(Infrastructure!$A:$A,A47)&gt;=4,15,IF(COUNTIF(Infrastructure!$A:$A,A47)&gt;=2,10,IF(COUNTIF(Infrastructure!$A:$A,A47)&gt;=1,5,0)))</f>
        <v>10</v>
      </c>
      <c r="O47" s="25">
        <f t="shared" si="6"/>
        <v>50</v>
      </c>
      <c r="P47" s="25" t="str">
        <f t="shared" si="7"/>
        <v>Medium</v>
      </c>
      <c r="Q47" s="21" t="s">
        <v>444</v>
      </c>
      <c r="R47" s="20" t="s">
        <v>445</v>
      </c>
      <c r="S47" s="20" t="s">
        <v>446</v>
      </c>
    </row>
    <row r="48" spans="1:19" ht="30" customHeight="1" x14ac:dyDescent="0.3">
      <c r="A48" s="20" t="s">
        <v>32</v>
      </c>
      <c r="B48" s="20" t="s">
        <v>447</v>
      </c>
      <c r="C48" s="20" t="s">
        <v>214</v>
      </c>
      <c r="D48" s="21" t="s">
        <v>448</v>
      </c>
      <c r="E48" s="21" t="s">
        <v>449</v>
      </c>
      <c r="F48" s="21" t="s">
        <v>450</v>
      </c>
      <c r="G48" s="22">
        <v>2026</v>
      </c>
      <c r="H48" s="20" t="s">
        <v>451</v>
      </c>
      <c r="I48" s="23">
        <v>13.6</v>
      </c>
      <c r="J48" s="20" t="s">
        <v>79</v>
      </c>
      <c r="K48" s="24">
        <f t="shared" si="4"/>
        <v>24</v>
      </c>
      <c r="L48" s="24">
        <f t="shared" si="5"/>
        <v>25</v>
      </c>
      <c r="M48" s="24">
        <f>IFERROR(INDEX(Methodology!$B$27:$B$36,MATCH(J48,Methodology!$A$27:$A$36,0)),12)</f>
        <v>16</v>
      </c>
      <c r="N48" s="24">
        <f>IF(COUNTIF(Infrastructure!$A:$A,A48)&gt;=4,15,IF(COUNTIF(Infrastructure!$A:$A,A48)&gt;=2,10,IF(COUNTIF(Infrastructure!$A:$A,A48)&gt;=1,5,0)))</f>
        <v>10</v>
      </c>
      <c r="O48" s="25">
        <f t="shared" si="6"/>
        <v>75</v>
      </c>
      <c r="P48" s="25" t="str">
        <f t="shared" si="7"/>
        <v>High</v>
      </c>
      <c r="Q48" s="21" t="s">
        <v>452</v>
      </c>
      <c r="R48" s="20" t="s">
        <v>453</v>
      </c>
      <c r="S48" s="20" t="s">
        <v>454</v>
      </c>
    </row>
    <row r="49" spans="1:19" ht="30" customHeight="1" x14ac:dyDescent="0.3">
      <c r="A49" s="20" t="s">
        <v>33</v>
      </c>
      <c r="B49" s="20" t="s">
        <v>455</v>
      </c>
      <c r="C49" s="20" t="s">
        <v>201</v>
      </c>
      <c r="D49" s="21" t="s">
        <v>456</v>
      </c>
      <c r="E49" s="21" t="s">
        <v>457</v>
      </c>
      <c r="F49" s="21" t="s">
        <v>458</v>
      </c>
      <c r="G49" s="22">
        <v>2024</v>
      </c>
      <c r="H49" s="20" t="s">
        <v>459</v>
      </c>
      <c r="I49" s="23">
        <v>57</v>
      </c>
      <c r="J49" s="20" t="s">
        <v>84</v>
      </c>
      <c r="K49" s="24">
        <f t="shared" si="4"/>
        <v>32</v>
      </c>
      <c r="L49" s="24">
        <f t="shared" si="5"/>
        <v>25</v>
      </c>
      <c r="M49" s="24">
        <f>IFERROR(INDEX(Methodology!$B$27:$B$36,MATCH(J49,Methodology!$A$27:$A$36,0)),12)</f>
        <v>8</v>
      </c>
      <c r="N49" s="24">
        <f>IF(COUNTIF(Infrastructure!$A:$A,A49)&gt;=4,15,IF(COUNTIF(Infrastructure!$A:$A,A49)&gt;=2,10,IF(COUNTIF(Infrastructure!$A:$A,A49)&gt;=1,5,0)))</f>
        <v>10</v>
      </c>
      <c r="O49" s="25">
        <f t="shared" si="6"/>
        <v>75</v>
      </c>
      <c r="P49" s="25" t="str">
        <f t="shared" si="7"/>
        <v>High</v>
      </c>
      <c r="Q49" s="21" t="s">
        <v>460</v>
      </c>
      <c r="R49" s="20" t="s">
        <v>461</v>
      </c>
      <c r="S49" s="20" t="s">
        <v>462</v>
      </c>
    </row>
    <row r="50" spans="1:19" ht="30" customHeight="1" x14ac:dyDescent="0.3">
      <c r="A50" s="20" t="s">
        <v>33</v>
      </c>
      <c r="B50" s="20" t="s">
        <v>463</v>
      </c>
      <c r="C50" s="20" t="s">
        <v>266</v>
      </c>
      <c r="D50" s="21" t="s">
        <v>464</v>
      </c>
      <c r="E50" s="21" t="s">
        <v>465</v>
      </c>
      <c r="F50" s="21" t="s">
        <v>466</v>
      </c>
      <c r="G50" s="22">
        <v>2025</v>
      </c>
      <c r="H50" s="20" t="s">
        <v>67</v>
      </c>
      <c r="I50" s="23"/>
      <c r="J50" s="20" t="s">
        <v>78</v>
      </c>
      <c r="K50" s="24">
        <f t="shared" si="4"/>
        <v>12</v>
      </c>
      <c r="L50" s="24">
        <f t="shared" si="5"/>
        <v>25</v>
      </c>
      <c r="M50" s="24">
        <f>IFERROR(INDEX(Methodology!$B$27:$B$36,MATCH(J50,Methodology!$A$27:$A$36,0)),12)</f>
        <v>18</v>
      </c>
      <c r="N50" s="24">
        <f>IF(COUNTIF(Infrastructure!$A:$A,A50)&gt;=4,15,IF(COUNTIF(Infrastructure!$A:$A,A50)&gt;=2,10,IF(COUNTIF(Infrastructure!$A:$A,A50)&gt;=1,5,0)))</f>
        <v>10</v>
      </c>
      <c r="O50" s="25">
        <f t="shared" si="6"/>
        <v>65</v>
      </c>
      <c r="P50" s="25" t="str">
        <f t="shared" si="7"/>
        <v>Medium</v>
      </c>
      <c r="Q50" s="21" t="s">
        <v>467</v>
      </c>
      <c r="R50" s="20" t="s">
        <v>468</v>
      </c>
      <c r="S50" s="20" t="s">
        <v>469</v>
      </c>
    </row>
    <row r="51" spans="1:19" ht="30" customHeight="1" x14ac:dyDescent="0.3">
      <c r="A51" s="20" t="s">
        <v>33</v>
      </c>
      <c r="B51" s="20" t="s">
        <v>470</v>
      </c>
      <c r="C51" s="20" t="s">
        <v>128</v>
      </c>
      <c r="D51" s="21" t="s">
        <v>471</v>
      </c>
      <c r="E51" s="21" t="s">
        <v>472</v>
      </c>
      <c r="F51" s="21" t="s">
        <v>473</v>
      </c>
      <c r="G51" s="22">
        <v>2023</v>
      </c>
      <c r="H51" s="20" t="s">
        <v>67</v>
      </c>
      <c r="I51" s="23"/>
      <c r="J51" s="20" t="s">
        <v>82</v>
      </c>
      <c r="K51" s="24">
        <f t="shared" si="4"/>
        <v>12</v>
      </c>
      <c r="L51" s="24">
        <f t="shared" si="5"/>
        <v>25</v>
      </c>
      <c r="M51" s="24">
        <f>IFERROR(INDEX(Methodology!$B$27:$B$36,MATCH(J51,Methodology!$A$27:$A$36,0)),12)</f>
        <v>12</v>
      </c>
      <c r="N51" s="24">
        <f>IF(COUNTIF(Infrastructure!$A:$A,A51)&gt;=4,15,IF(COUNTIF(Infrastructure!$A:$A,A51)&gt;=2,10,IF(COUNTIF(Infrastructure!$A:$A,A51)&gt;=1,5,0)))</f>
        <v>10</v>
      </c>
      <c r="O51" s="25">
        <f t="shared" si="6"/>
        <v>59</v>
      </c>
      <c r="P51" s="25" t="str">
        <f t="shared" si="7"/>
        <v>Medium</v>
      </c>
      <c r="Q51" s="21" t="s">
        <v>474</v>
      </c>
      <c r="R51" s="20" t="s">
        <v>475</v>
      </c>
      <c r="S51" s="20" t="s">
        <v>476</v>
      </c>
    </row>
    <row r="52" spans="1:19" ht="30" customHeight="1" x14ac:dyDescent="0.3">
      <c r="A52" s="20" t="s">
        <v>34</v>
      </c>
      <c r="B52" s="20" t="s">
        <v>477</v>
      </c>
      <c r="C52" s="20" t="s">
        <v>119</v>
      </c>
      <c r="D52" s="21" t="s">
        <v>434</v>
      </c>
      <c r="E52" s="21" t="s">
        <v>478</v>
      </c>
      <c r="F52" s="21" t="s">
        <v>479</v>
      </c>
      <c r="G52" s="22">
        <v>2026</v>
      </c>
      <c r="H52" s="20" t="s">
        <v>480</v>
      </c>
      <c r="I52" s="23">
        <v>110</v>
      </c>
      <c r="J52" s="20" t="s">
        <v>76</v>
      </c>
      <c r="K52" s="24">
        <f t="shared" si="4"/>
        <v>40</v>
      </c>
      <c r="L52" s="24">
        <f t="shared" si="5"/>
        <v>25</v>
      </c>
      <c r="M52" s="24">
        <f>IFERROR(INDEX(Methodology!$B$27:$B$36,MATCH(J52,Methodology!$A$27:$A$36,0)),12)</f>
        <v>20</v>
      </c>
      <c r="N52" s="24">
        <f>IF(COUNTIF(Infrastructure!$A:$A,A52)&gt;=4,15,IF(COUNTIF(Infrastructure!$A:$A,A52)&gt;=2,10,IF(COUNTIF(Infrastructure!$A:$A,A52)&gt;=1,5,0)))</f>
        <v>10</v>
      </c>
      <c r="O52" s="25">
        <f t="shared" si="6"/>
        <v>95</v>
      </c>
      <c r="P52" s="25" t="str">
        <f t="shared" si="7"/>
        <v>High</v>
      </c>
      <c r="Q52" s="21" t="s">
        <v>481</v>
      </c>
      <c r="R52" s="20" t="s">
        <v>482</v>
      </c>
      <c r="S52" s="20" t="s">
        <v>483</v>
      </c>
    </row>
    <row r="53" spans="1:19" ht="30" customHeight="1" x14ac:dyDescent="0.3">
      <c r="A53" s="20" t="s">
        <v>34</v>
      </c>
      <c r="B53" s="20" t="s">
        <v>484</v>
      </c>
      <c r="C53" s="20" t="s">
        <v>119</v>
      </c>
      <c r="D53" s="21" t="s">
        <v>485</v>
      </c>
      <c r="E53" s="21" t="s">
        <v>486</v>
      </c>
      <c r="F53" s="21" t="s">
        <v>487</v>
      </c>
      <c r="G53" s="22">
        <v>2022</v>
      </c>
      <c r="H53" s="20" t="s">
        <v>67</v>
      </c>
      <c r="I53" s="23"/>
      <c r="J53" s="20" t="s">
        <v>76</v>
      </c>
      <c r="K53" s="24">
        <f t="shared" si="4"/>
        <v>12</v>
      </c>
      <c r="L53" s="24">
        <f t="shared" si="5"/>
        <v>20</v>
      </c>
      <c r="M53" s="24">
        <f>IFERROR(INDEX(Methodology!$B$27:$B$36,MATCH(J53,Methodology!$A$27:$A$36,0)),12)</f>
        <v>20</v>
      </c>
      <c r="N53" s="24">
        <f>IF(COUNTIF(Infrastructure!$A:$A,A53)&gt;=4,15,IF(COUNTIF(Infrastructure!$A:$A,A53)&gt;=2,10,IF(COUNTIF(Infrastructure!$A:$A,A53)&gt;=1,5,0)))</f>
        <v>10</v>
      </c>
      <c r="O53" s="25">
        <f t="shared" si="6"/>
        <v>62</v>
      </c>
      <c r="P53" s="25" t="str">
        <f t="shared" si="7"/>
        <v>Medium</v>
      </c>
      <c r="Q53" s="21" t="s">
        <v>488</v>
      </c>
      <c r="R53" s="20" t="s">
        <v>489</v>
      </c>
      <c r="S53" s="20" t="s">
        <v>490</v>
      </c>
    </row>
    <row r="54" spans="1:19" ht="30" customHeight="1" x14ac:dyDescent="0.3">
      <c r="A54" s="20" t="s">
        <v>34</v>
      </c>
      <c r="B54" s="20" t="s">
        <v>491</v>
      </c>
      <c r="C54" s="20" t="s">
        <v>137</v>
      </c>
      <c r="D54" s="21" t="s">
        <v>492</v>
      </c>
      <c r="E54" s="21" t="s">
        <v>493</v>
      </c>
      <c r="F54" s="21" t="s">
        <v>494</v>
      </c>
      <c r="G54" s="22">
        <v>2033</v>
      </c>
      <c r="H54" s="20" t="s">
        <v>495</v>
      </c>
      <c r="I54" s="23">
        <v>165</v>
      </c>
      <c r="J54" s="20" t="s">
        <v>80</v>
      </c>
      <c r="K54" s="24">
        <f t="shared" si="4"/>
        <v>40</v>
      </c>
      <c r="L54" s="24">
        <f t="shared" si="5"/>
        <v>25</v>
      </c>
      <c r="M54" s="24">
        <f>IFERROR(INDEX(Methodology!$B$27:$B$36,MATCH(J54,Methodology!$A$27:$A$36,0)),12)</f>
        <v>14</v>
      </c>
      <c r="N54" s="24">
        <f>IF(COUNTIF(Infrastructure!$A:$A,A54)&gt;=4,15,IF(COUNTIF(Infrastructure!$A:$A,A54)&gt;=2,10,IF(COUNTIF(Infrastructure!$A:$A,A54)&gt;=1,5,0)))</f>
        <v>10</v>
      </c>
      <c r="O54" s="25">
        <f t="shared" si="6"/>
        <v>89</v>
      </c>
      <c r="P54" s="25" t="str">
        <f t="shared" si="7"/>
        <v>High</v>
      </c>
      <c r="Q54" s="21" t="s">
        <v>496</v>
      </c>
      <c r="R54" s="20" t="s">
        <v>497</v>
      </c>
      <c r="S54" s="20" t="s">
        <v>498</v>
      </c>
    </row>
    <row r="55" spans="1:19" ht="30" customHeight="1" x14ac:dyDescent="0.3">
      <c r="A55" s="20" t="s">
        <v>35</v>
      </c>
      <c r="B55" s="20" t="s">
        <v>499</v>
      </c>
      <c r="C55" s="20" t="s">
        <v>119</v>
      </c>
      <c r="D55" s="21" t="s">
        <v>500</v>
      </c>
      <c r="E55" s="21" t="s">
        <v>501</v>
      </c>
      <c r="F55" s="21" t="s">
        <v>502</v>
      </c>
      <c r="G55" s="22">
        <v>2025</v>
      </c>
      <c r="H55" s="20" t="s">
        <v>503</v>
      </c>
      <c r="I55" s="23">
        <v>190</v>
      </c>
      <c r="J55" s="20" t="s">
        <v>76</v>
      </c>
      <c r="K55" s="24">
        <f t="shared" si="4"/>
        <v>40</v>
      </c>
      <c r="L55" s="24">
        <f t="shared" si="5"/>
        <v>25</v>
      </c>
      <c r="M55" s="24">
        <f>IFERROR(INDEX(Methodology!$B$27:$B$36,MATCH(J55,Methodology!$A$27:$A$36,0)),12)</f>
        <v>20</v>
      </c>
      <c r="N55" s="24">
        <f>IF(COUNTIF(Infrastructure!$A:$A,A55)&gt;=4,15,IF(COUNTIF(Infrastructure!$A:$A,A55)&gt;=2,10,IF(COUNTIF(Infrastructure!$A:$A,A55)&gt;=1,5,0)))</f>
        <v>15</v>
      </c>
      <c r="O55" s="25">
        <f t="shared" si="6"/>
        <v>100</v>
      </c>
      <c r="P55" s="25" t="str">
        <f t="shared" si="7"/>
        <v>High</v>
      </c>
      <c r="Q55" s="21" t="s">
        <v>504</v>
      </c>
      <c r="R55" s="20" t="s">
        <v>505</v>
      </c>
      <c r="S55" s="20" t="s">
        <v>506</v>
      </c>
    </row>
    <row r="56" spans="1:19" ht="30" customHeight="1" x14ac:dyDescent="0.3">
      <c r="A56" s="20" t="s">
        <v>35</v>
      </c>
      <c r="B56" s="20" t="s">
        <v>507</v>
      </c>
      <c r="C56" s="20" t="s">
        <v>119</v>
      </c>
      <c r="D56" s="21" t="s">
        <v>508</v>
      </c>
      <c r="E56" s="21" t="s">
        <v>509</v>
      </c>
      <c r="F56" s="21" t="s">
        <v>510</v>
      </c>
      <c r="G56" s="22">
        <v>2024</v>
      </c>
      <c r="H56" s="20" t="s">
        <v>511</v>
      </c>
      <c r="I56" s="23">
        <v>5</v>
      </c>
      <c r="J56" s="20" t="s">
        <v>76</v>
      </c>
      <c r="K56" s="24">
        <f t="shared" si="4"/>
        <v>24</v>
      </c>
      <c r="L56" s="24">
        <f t="shared" si="5"/>
        <v>25</v>
      </c>
      <c r="M56" s="24">
        <f>IFERROR(INDEX(Methodology!$B$27:$B$36,MATCH(J56,Methodology!$A$27:$A$36,0)),12)</f>
        <v>20</v>
      </c>
      <c r="N56" s="24">
        <f>IF(COUNTIF(Infrastructure!$A:$A,A56)&gt;=4,15,IF(COUNTIF(Infrastructure!$A:$A,A56)&gt;=2,10,IF(COUNTIF(Infrastructure!$A:$A,A56)&gt;=1,5,0)))</f>
        <v>15</v>
      </c>
      <c r="O56" s="25">
        <f t="shared" si="6"/>
        <v>84</v>
      </c>
      <c r="P56" s="25" t="str">
        <f t="shared" si="7"/>
        <v>High</v>
      </c>
      <c r="Q56" s="21" t="s">
        <v>512</v>
      </c>
      <c r="R56" s="20" t="s">
        <v>513</v>
      </c>
      <c r="S56" s="20" t="s">
        <v>514</v>
      </c>
    </row>
    <row r="57" spans="1:19" ht="30" customHeight="1" x14ac:dyDescent="0.3">
      <c r="A57" s="20" t="s">
        <v>35</v>
      </c>
      <c r="B57" s="20" t="s">
        <v>515</v>
      </c>
      <c r="C57" s="20" t="s">
        <v>119</v>
      </c>
      <c r="D57" s="21" t="s">
        <v>516</v>
      </c>
      <c r="E57" s="21" t="s">
        <v>517</v>
      </c>
      <c r="F57" s="21" t="s">
        <v>518</v>
      </c>
      <c r="G57" s="22">
        <v>2026</v>
      </c>
      <c r="H57" s="20" t="s">
        <v>67</v>
      </c>
      <c r="I57" s="23"/>
      <c r="J57" s="20" t="s">
        <v>76</v>
      </c>
      <c r="K57" s="24">
        <f t="shared" si="4"/>
        <v>12</v>
      </c>
      <c r="L57" s="24">
        <f t="shared" si="5"/>
        <v>25</v>
      </c>
      <c r="M57" s="24">
        <f>IFERROR(INDEX(Methodology!$B$27:$B$36,MATCH(J57,Methodology!$A$27:$A$36,0)),12)</f>
        <v>20</v>
      </c>
      <c r="N57" s="24">
        <f>IF(COUNTIF(Infrastructure!$A:$A,A57)&gt;=4,15,IF(COUNTIF(Infrastructure!$A:$A,A57)&gt;=2,10,IF(COUNTIF(Infrastructure!$A:$A,A57)&gt;=1,5,0)))</f>
        <v>15</v>
      </c>
      <c r="O57" s="25">
        <f t="shared" si="6"/>
        <v>72</v>
      </c>
      <c r="P57" s="25" t="str">
        <f t="shared" si="7"/>
        <v>High</v>
      </c>
      <c r="Q57" s="21" t="s">
        <v>519</v>
      </c>
      <c r="R57" s="20" t="s">
        <v>520</v>
      </c>
      <c r="S57" s="20" t="s">
        <v>355</v>
      </c>
    </row>
    <row r="58" spans="1:19" ht="30" customHeight="1" x14ac:dyDescent="0.3">
      <c r="A58" s="20" t="s">
        <v>35</v>
      </c>
      <c r="B58" s="20" t="s">
        <v>521</v>
      </c>
      <c r="C58" s="20" t="s">
        <v>137</v>
      </c>
      <c r="D58" s="21" t="s">
        <v>522</v>
      </c>
      <c r="E58" s="21" t="s">
        <v>523</v>
      </c>
      <c r="F58" s="21" t="s">
        <v>524</v>
      </c>
      <c r="G58" s="22">
        <v>2024</v>
      </c>
      <c r="H58" s="20" t="s">
        <v>365</v>
      </c>
      <c r="I58" s="23">
        <v>10</v>
      </c>
      <c r="J58" s="20" t="s">
        <v>80</v>
      </c>
      <c r="K58" s="24">
        <f t="shared" si="4"/>
        <v>24</v>
      </c>
      <c r="L58" s="24">
        <f t="shared" si="5"/>
        <v>25</v>
      </c>
      <c r="M58" s="24">
        <f>IFERROR(INDEX(Methodology!$B$27:$B$36,MATCH(J58,Methodology!$A$27:$A$36,0)),12)</f>
        <v>14</v>
      </c>
      <c r="N58" s="24">
        <f>IF(COUNTIF(Infrastructure!$A:$A,A58)&gt;=4,15,IF(COUNTIF(Infrastructure!$A:$A,A58)&gt;=2,10,IF(COUNTIF(Infrastructure!$A:$A,A58)&gt;=1,5,0)))</f>
        <v>15</v>
      </c>
      <c r="O58" s="25">
        <f t="shared" si="6"/>
        <v>78</v>
      </c>
      <c r="P58" s="25" t="str">
        <f t="shared" si="7"/>
        <v>High</v>
      </c>
      <c r="Q58" s="21" t="s">
        <v>525</v>
      </c>
      <c r="R58" s="20" t="s">
        <v>526</v>
      </c>
      <c r="S58" s="20" t="s">
        <v>527</v>
      </c>
    </row>
    <row r="59" spans="1:19" ht="30" customHeight="1" x14ac:dyDescent="0.3">
      <c r="A59" s="20" t="s">
        <v>35</v>
      </c>
      <c r="B59" s="20" t="s">
        <v>528</v>
      </c>
      <c r="C59" s="20" t="s">
        <v>137</v>
      </c>
      <c r="D59" s="21" t="s">
        <v>529</v>
      </c>
      <c r="E59" s="21" t="s">
        <v>530</v>
      </c>
      <c r="F59" s="21" t="s">
        <v>531</v>
      </c>
      <c r="G59" s="22">
        <v>2026</v>
      </c>
      <c r="H59" s="20" t="s">
        <v>532</v>
      </c>
      <c r="I59" s="23">
        <v>150</v>
      </c>
      <c r="J59" s="20" t="s">
        <v>80</v>
      </c>
      <c r="K59" s="24">
        <f t="shared" si="4"/>
        <v>40</v>
      </c>
      <c r="L59" s="24">
        <f t="shared" si="5"/>
        <v>25</v>
      </c>
      <c r="M59" s="24">
        <f>IFERROR(INDEX(Methodology!$B$27:$B$36,MATCH(J59,Methodology!$A$27:$A$36,0)),12)</f>
        <v>14</v>
      </c>
      <c r="N59" s="24">
        <f>IF(COUNTIF(Infrastructure!$A:$A,A59)&gt;=4,15,IF(COUNTIF(Infrastructure!$A:$A,A59)&gt;=2,10,IF(COUNTIF(Infrastructure!$A:$A,A59)&gt;=1,5,0)))</f>
        <v>15</v>
      </c>
      <c r="O59" s="25">
        <f t="shared" si="6"/>
        <v>94</v>
      </c>
      <c r="P59" s="25" t="str">
        <f t="shared" si="7"/>
        <v>High</v>
      </c>
      <c r="Q59" s="21" t="s">
        <v>533</v>
      </c>
      <c r="R59" s="20" t="s">
        <v>534</v>
      </c>
      <c r="S59" s="20" t="s">
        <v>535</v>
      </c>
    </row>
    <row r="60" spans="1:19" ht="30" customHeight="1" x14ac:dyDescent="0.3">
      <c r="A60" s="20" t="s">
        <v>35</v>
      </c>
      <c r="B60" s="20" t="s">
        <v>536</v>
      </c>
      <c r="C60" s="20" t="s">
        <v>201</v>
      </c>
      <c r="D60" s="21" t="s">
        <v>537</v>
      </c>
      <c r="E60" s="21" t="s">
        <v>538</v>
      </c>
      <c r="F60" s="21" t="s">
        <v>539</v>
      </c>
      <c r="G60" s="22">
        <v>2023</v>
      </c>
      <c r="H60" s="20" t="s">
        <v>540</v>
      </c>
      <c r="I60" s="23">
        <v>69.5</v>
      </c>
      <c r="J60" s="20" t="s">
        <v>84</v>
      </c>
      <c r="K60" s="24">
        <f t="shared" si="4"/>
        <v>32</v>
      </c>
      <c r="L60" s="24">
        <f t="shared" si="5"/>
        <v>25</v>
      </c>
      <c r="M60" s="24">
        <f>IFERROR(INDEX(Methodology!$B$27:$B$36,MATCH(J60,Methodology!$A$27:$A$36,0)),12)</f>
        <v>8</v>
      </c>
      <c r="N60" s="24">
        <f>IF(COUNTIF(Infrastructure!$A:$A,A60)&gt;=4,15,IF(COUNTIF(Infrastructure!$A:$A,A60)&gt;=2,10,IF(COUNTIF(Infrastructure!$A:$A,A60)&gt;=1,5,0)))</f>
        <v>15</v>
      </c>
      <c r="O60" s="25">
        <f t="shared" si="6"/>
        <v>80</v>
      </c>
      <c r="P60" s="25" t="str">
        <f t="shared" si="7"/>
        <v>High</v>
      </c>
      <c r="Q60" s="21" t="s">
        <v>541</v>
      </c>
      <c r="R60" s="20" t="s">
        <v>542</v>
      </c>
      <c r="S60" s="20" t="s">
        <v>543</v>
      </c>
    </row>
    <row r="61" spans="1:19" ht="30" customHeight="1" x14ac:dyDescent="0.3">
      <c r="A61" s="20" t="s">
        <v>35</v>
      </c>
      <c r="B61" s="20" t="s">
        <v>544</v>
      </c>
      <c r="C61" s="20" t="s">
        <v>201</v>
      </c>
      <c r="D61" s="21" t="s">
        <v>545</v>
      </c>
      <c r="E61" s="21" t="s">
        <v>546</v>
      </c>
      <c r="F61" s="21" t="s">
        <v>547</v>
      </c>
      <c r="G61" s="22">
        <v>2025</v>
      </c>
      <c r="H61" s="20" t="s">
        <v>67</v>
      </c>
      <c r="I61" s="23"/>
      <c r="J61" s="20" t="s">
        <v>84</v>
      </c>
      <c r="K61" s="24">
        <f t="shared" si="4"/>
        <v>12</v>
      </c>
      <c r="L61" s="24">
        <f t="shared" si="5"/>
        <v>25</v>
      </c>
      <c r="M61" s="24">
        <f>IFERROR(INDEX(Methodology!$B$27:$B$36,MATCH(J61,Methodology!$A$27:$A$36,0)),12)</f>
        <v>8</v>
      </c>
      <c r="N61" s="24">
        <f>IF(COUNTIF(Infrastructure!$A:$A,A61)&gt;=4,15,IF(COUNTIF(Infrastructure!$A:$A,A61)&gt;=2,10,IF(COUNTIF(Infrastructure!$A:$A,A61)&gt;=1,5,0)))</f>
        <v>15</v>
      </c>
      <c r="O61" s="25">
        <f t="shared" si="6"/>
        <v>60</v>
      </c>
      <c r="P61" s="25" t="str">
        <f t="shared" si="7"/>
        <v>Medium</v>
      </c>
      <c r="Q61" s="21" t="s">
        <v>548</v>
      </c>
      <c r="R61" s="20" t="s">
        <v>549</v>
      </c>
      <c r="S61" s="20" t="s">
        <v>550</v>
      </c>
    </row>
    <row r="62" spans="1:19" ht="30" customHeight="1" x14ac:dyDescent="0.3">
      <c r="A62" s="20" t="s">
        <v>35</v>
      </c>
      <c r="B62" s="20" t="s">
        <v>551</v>
      </c>
      <c r="C62" s="20" t="s">
        <v>266</v>
      </c>
      <c r="D62" s="21" t="s">
        <v>552</v>
      </c>
      <c r="E62" s="21" t="s">
        <v>553</v>
      </c>
      <c r="F62" s="21" t="s">
        <v>554</v>
      </c>
      <c r="G62" s="22">
        <v>2024</v>
      </c>
      <c r="H62" s="20" t="s">
        <v>555</v>
      </c>
      <c r="I62" s="23">
        <v>12</v>
      </c>
      <c r="J62" s="20" t="s">
        <v>81</v>
      </c>
      <c r="K62" s="24">
        <f t="shared" si="4"/>
        <v>24</v>
      </c>
      <c r="L62" s="24">
        <f t="shared" si="5"/>
        <v>25</v>
      </c>
      <c r="M62" s="24">
        <f>IFERROR(INDEX(Methodology!$B$27:$B$36,MATCH(J62,Methodology!$A$27:$A$36,0)),12)</f>
        <v>14</v>
      </c>
      <c r="N62" s="24">
        <f>IF(COUNTIF(Infrastructure!$A:$A,A62)&gt;=4,15,IF(COUNTIF(Infrastructure!$A:$A,A62)&gt;=2,10,IF(COUNTIF(Infrastructure!$A:$A,A62)&gt;=1,5,0)))</f>
        <v>15</v>
      </c>
      <c r="O62" s="25">
        <f t="shared" si="6"/>
        <v>78</v>
      </c>
      <c r="P62" s="25" t="str">
        <f t="shared" si="7"/>
        <v>High</v>
      </c>
      <c r="Q62" s="21" t="s">
        <v>556</v>
      </c>
      <c r="R62" s="20" t="s">
        <v>557</v>
      </c>
      <c r="S62" s="20" t="s">
        <v>558</v>
      </c>
    </row>
    <row r="63" spans="1:19" ht="30" customHeight="1" x14ac:dyDescent="0.3">
      <c r="A63" s="20" t="s">
        <v>35</v>
      </c>
      <c r="B63" s="20" t="s">
        <v>559</v>
      </c>
      <c r="C63" s="20" t="s">
        <v>266</v>
      </c>
      <c r="D63" s="21" t="s">
        <v>560</v>
      </c>
      <c r="E63" s="21" t="s">
        <v>561</v>
      </c>
      <c r="F63" s="21" t="s">
        <v>562</v>
      </c>
      <c r="G63" s="22">
        <v>2025</v>
      </c>
      <c r="H63" s="20" t="s">
        <v>563</v>
      </c>
      <c r="I63" s="23">
        <v>102.6</v>
      </c>
      <c r="J63" s="20" t="s">
        <v>78</v>
      </c>
      <c r="K63" s="24">
        <f t="shared" si="4"/>
        <v>40</v>
      </c>
      <c r="L63" s="24">
        <f t="shared" si="5"/>
        <v>25</v>
      </c>
      <c r="M63" s="24">
        <f>IFERROR(INDEX(Methodology!$B$27:$B$36,MATCH(J63,Methodology!$A$27:$A$36,0)),12)</f>
        <v>18</v>
      </c>
      <c r="N63" s="24">
        <f>IF(COUNTIF(Infrastructure!$A:$A,A63)&gt;=4,15,IF(COUNTIF(Infrastructure!$A:$A,A63)&gt;=2,10,IF(COUNTIF(Infrastructure!$A:$A,A63)&gt;=1,5,0)))</f>
        <v>15</v>
      </c>
      <c r="O63" s="25">
        <f t="shared" si="6"/>
        <v>98</v>
      </c>
      <c r="P63" s="25" t="str">
        <f t="shared" si="7"/>
        <v>High</v>
      </c>
      <c r="Q63" s="21" t="s">
        <v>564</v>
      </c>
      <c r="R63" s="20" t="s">
        <v>565</v>
      </c>
      <c r="S63" s="20" t="s">
        <v>566</v>
      </c>
    </row>
    <row r="64" spans="1:19" ht="30" customHeight="1" x14ac:dyDescent="0.3">
      <c r="A64" s="20" t="s">
        <v>35</v>
      </c>
      <c r="B64" s="20" t="s">
        <v>567</v>
      </c>
      <c r="C64" s="20" t="s">
        <v>128</v>
      </c>
      <c r="D64" s="21" t="s">
        <v>568</v>
      </c>
      <c r="E64" s="21" t="s">
        <v>569</v>
      </c>
      <c r="F64" s="21" t="s">
        <v>570</v>
      </c>
      <c r="G64" s="22">
        <v>2023</v>
      </c>
      <c r="H64" s="20" t="s">
        <v>67</v>
      </c>
      <c r="I64" s="23"/>
      <c r="J64" s="20" t="s">
        <v>77</v>
      </c>
      <c r="K64" s="24">
        <f t="shared" si="4"/>
        <v>12</v>
      </c>
      <c r="L64" s="24">
        <f t="shared" si="5"/>
        <v>25</v>
      </c>
      <c r="M64" s="24">
        <f>IFERROR(INDEX(Methodology!$B$27:$B$36,MATCH(J64,Methodology!$A$27:$A$36,0)),12)</f>
        <v>20</v>
      </c>
      <c r="N64" s="24">
        <f>IF(COUNTIF(Infrastructure!$A:$A,A64)&gt;=4,15,IF(COUNTIF(Infrastructure!$A:$A,A64)&gt;=2,10,IF(COUNTIF(Infrastructure!$A:$A,A64)&gt;=1,5,0)))</f>
        <v>15</v>
      </c>
      <c r="O64" s="25">
        <f t="shared" si="6"/>
        <v>72</v>
      </c>
      <c r="P64" s="25" t="str">
        <f t="shared" si="7"/>
        <v>High</v>
      </c>
      <c r="Q64" s="21" t="s">
        <v>571</v>
      </c>
      <c r="R64" s="20" t="s">
        <v>572</v>
      </c>
      <c r="S64" s="20" t="s">
        <v>573</v>
      </c>
    </row>
    <row r="65" spans="1:19" ht="30" customHeight="1" x14ac:dyDescent="0.3">
      <c r="A65" s="20" t="s">
        <v>35</v>
      </c>
      <c r="B65" s="20" t="s">
        <v>574</v>
      </c>
      <c r="C65" s="20" t="s">
        <v>128</v>
      </c>
      <c r="D65" s="21" t="s">
        <v>575</v>
      </c>
      <c r="E65" s="21" t="s">
        <v>576</v>
      </c>
      <c r="F65" s="21" t="s">
        <v>577</v>
      </c>
      <c r="G65" s="22">
        <v>2025</v>
      </c>
      <c r="H65" s="20" t="s">
        <v>67</v>
      </c>
      <c r="I65" s="23"/>
      <c r="J65" s="20" t="s">
        <v>82</v>
      </c>
      <c r="K65" s="24">
        <f t="shared" si="4"/>
        <v>12</v>
      </c>
      <c r="L65" s="24">
        <f t="shared" si="5"/>
        <v>25</v>
      </c>
      <c r="M65" s="24">
        <f>IFERROR(INDEX(Methodology!$B$27:$B$36,MATCH(J65,Methodology!$A$27:$A$36,0)),12)</f>
        <v>12</v>
      </c>
      <c r="N65" s="24">
        <f>IF(COUNTIF(Infrastructure!$A:$A,A65)&gt;=4,15,IF(COUNTIF(Infrastructure!$A:$A,A65)&gt;=2,10,IF(COUNTIF(Infrastructure!$A:$A,A65)&gt;=1,5,0)))</f>
        <v>15</v>
      </c>
      <c r="O65" s="25">
        <f t="shared" si="6"/>
        <v>64</v>
      </c>
      <c r="P65" s="25" t="str">
        <f t="shared" si="7"/>
        <v>Medium</v>
      </c>
      <c r="Q65" s="21" t="s">
        <v>578</v>
      </c>
      <c r="R65" s="20" t="s">
        <v>579</v>
      </c>
      <c r="S65" s="20" t="s">
        <v>580</v>
      </c>
    </row>
    <row r="66" spans="1:19" ht="30" customHeight="1" x14ac:dyDescent="0.3">
      <c r="A66" s="20" t="s">
        <v>35</v>
      </c>
      <c r="B66" s="20" t="s">
        <v>581</v>
      </c>
      <c r="C66" s="20" t="s">
        <v>214</v>
      </c>
      <c r="D66" s="21" t="s">
        <v>582</v>
      </c>
      <c r="E66" s="21" t="s">
        <v>583</v>
      </c>
      <c r="F66" s="21" t="s">
        <v>584</v>
      </c>
      <c r="G66" s="22">
        <v>2023</v>
      </c>
      <c r="H66" s="20" t="s">
        <v>585</v>
      </c>
      <c r="I66" s="23">
        <v>52</v>
      </c>
      <c r="J66" s="20" t="s">
        <v>79</v>
      </c>
      <c r="K66" s="24">
        <f t="shared" si="4"/>
        <v>32</v>
      </c>
      <c r="L66" s="24">
        <f t="shared" si="5"/>
        <v>25</v>
      </c>
      <c r="M66" s="24">
        <f>IFERROR(INDEX(Methodology!$B$27:$B$36,MATCH(J66,Methodology!$A$27:$A$36,0)),12)</f>
        <v>16</v>
      </c>
      <c r="N66" s="24">
        <f>IF(COUNTIF(Infrastructure!$A:$A,A66)&gt;=4,15,IF(COUNTIF(Infrastructure!$A:$A,A66)&gt;=2,10,IF(COUNTIF(Infrastructure!$A:$A,A66)&gt;=1,5,0)))</f>
        <v>15</v>
      </c>
      <c r="O66" s="25">
        <f t="shared" si="6"/>
        <v>88</v>
      </c>
      <c r="P66" s="25" t="str">
        <f t="shared" si="7"/>
        <v>High</v>
      </c>
      <c r="Q66" s="21" t="s">
        <v>586</v>
      </c>
      <c r="R66" s="20" t="s">
        <v>587</v>
      </c>
      <c r="S66" s="20" t="s">
        <v>588</v>
      </c>
    </row>
    <row r="67" spans="1:19" ht="30" customHeight="1" x14ac:dyDescent="0.3">
      <c r="A67" s="20" t="s">
        <v>35</v>
      </c>
      <c r="B67" s="20" t="s">
        <v>589</v>
      </c>
      <c r="C67" s="20" t="s">
        <v>214</v>
      </c>
      <c r="D67" s="21" t="s">
        <v>590</v>
      </c>
      <c r="E67" s="21" t="s">
        <v>591</v>
      </c>
      <c r="F67" s="21" t="s">
        <v>592</v>
      </c>
      <c r="G67" s="22">
        <v>2016</v>
      </c>
      <c r="H67" s="20" t="s">
        <v>593</v>
      </c>
      <c r="I67" s="23">
        <v>818</v>
      </c>
      <c r="J67" s="20" t="s">
        <v>79</v>
      </c>
      <c r="K67" s="24">
        <f t="shared" ref="K67:K98" si="8">IF(I67="",12,IF(I67&gt;=100,40,IF(I67&gt;=20,32,IF(I67&gt;=5,24,IF(I67&gt;=1,16,8)))))</f>
        <v>40</v>
      </c>
      <c r="L67" s="24">
        <f t="shared" ref="L67:L98" si="9">IF(G67="",5,IF(G67&gt;=2023,25,IF(G67&gt;=2022,20,IF(G67&gt;=2021,14,IF(G67&gt;=2020,8,5)))))</f>
        <v>5</v>
      </c>
      <c r="M67" s="24">
        <f>IFERROR(INDEX(Methodology!$B$27:$B$36,MATCH(J67,Methodology!$A$27:$A$36,0)),12)</f>
        <v>16</v>
      </c>
      <c r="N67" s="24">
        <f>IF(COUNTIF(Infrastructure!$A:$A,A67)&gt;=4,15,IF(COUNTIF(Infrastructure!$A:$A,A67)&gt;=2,10,IF(COUNTIF(Infrastructure!$A:$A,A67)&gt;=1,5,0)))</f>
        <v>15</v>
      </c>
      <c r="O67" s="25">
        <f t="shared" ref="O67:O98" si="10">K67+L67+M67+N67</f>
        <v>76</v>
      </c>
      <c r="P67" s="25" t="str">
        <f t="shared" ref="P67:P98" si="11">IF(O67&gt;=70,"High",IF(O67&gt;=50,"Medium","Watch"))</f>
        <v>High</v>
      </c>
      <c r="Q67" s="21" t="s">
        <v>594</v>
      </c>
      <c r="R67" s="20" t="s">
        <v>595</v>
      </c>
      <c r="S67" s="20" t="s">
        <v>596</v>
      </c>
    </row>
    <row r="68" spans="1:19" ht="30" customHeight="1" x14ac:dyDescent="0.3">
      <c r="A68" s="20" t="s">
        <v>37</v>
      </c>
      <c r="B68" s="20" t="s">
        <v>597</v>
      </c>
      <c r="C68" s="20" t="s">
        <v>119</v>
      </c>
      <c r="D68" s="21" t="s">
        <v>598</v>
      </c>
      <c r="E68" s="21" t="s">
        <v>599</v>
      </c>
      <c r="F68" s="21" t="s">
        <v>600</v>
      </c>
      <c r="G68" s="22">
        <v>2022</v>
      </c>
      <c r="H68" s="20" t="s">
        <v>601</v>
      </c>
      <c r="I68" s="23">
        <v>10.8</v>
      </c>
      <c r="J68" s="20" t="s">
        <v>76</v>
      </c>
      <c r="K68" s="24">
        <f t="shared" si="8"/>
        <v>24</v>
      </c>
      <c r="L68" s="24">
        <f t="shared" si="9"/>
        <v>20</v>
      </c>
      <c r="M68" s="24">
        <f>IFERROR(INDEX(Methodology!$B$27:$B$36,MATCH(J68,Methodology!$A$27:$A$36,0)),12)</f>
        <v>20</v>
      </c>
      <c r="N68" s="24">
        <f>IF(COUNTIF(Infrastructure!$A:$A,A68)&gt;=4,15,IF(COUNTIF(Infrastructure!$A:$A,A68)&gt;=2,10,IF(COUNTIF(Infrastructure!$A:$A,A68)&gt;=1,5,0)))</f>
        <v>5</v>
      </c>
      <c r="O68" s="25">
        <f t="shared" si="10"/>
        <v>69</v>
      </c>
      <c r="P68" s="25" t="str">
        <f t="shared" si="11"/>
        <v>Medium</v>
      </c>
      <c r="Q68" s="21" t="s">
        <v>602</v>
      </c>
      <c r="R68" s="20" t="s">
        <v>603</v>
      </c>
      <c r="S68" s="20" t="s">
        <v>604</v>
      </c>
    </row>
    <row r="69" spans="1:19" ht="30" customHeight="1" x14ac:dyDescent="0.3">
      <c r="A69" s="20" t="s">
        <v>37</v>
      </c>
      <c r="B69" s="20" t="s">
        <v>605</v>
      </c>
      <c r="C69" s="20" t="s">
        <v>201</v>
      </c>
      <c r="D69" s="21" t="s">
        <v>606</v>
      </c>
      <c r="E69" s="21" t="s">
        <v>607</v>
      </c>
      <c r="F69" s="21" t="s">
        <v>608</v>
      </c>
      <c r="G69" s="22">
        <v>2025</v>
      </c>
      <c r="H69" s="20" t="s">
        <v>609</v>
      </c>
      <c r="I69" s="23"/>
      <c r="J69" s="20" t="s">
        <v>80</v>
      </c>
      <c r="K69" s="24">
        <f t="shared" si="8"/>
        <v>12</v>
      </c>
      <c r="L69" s="24">
        <f t="shared" si="9"/>
        <v>25</v>
      </c>
      <c r="M69" s="24">
        <f>IFERROR(INDEX(Methodology!$B$27:$B$36,MATCH(J69,Methodology!$A$27:$A$36,0)),12)</f>
        <v>14</v>
      </c>
      <c r="N69" s="24">
        <f>IF(COUNTIF(Infrastructure!$A:$A,A69)&gt;=4,15,IF(COUNTIF(Infrastructure!$A:$A,A69)&gt;=2,10,IF(COUNTIF(Infrastructure!$A:$A,A69)&gt;=1,5,0)))</f>
        <v>5</v>
      </c>
      <c r="O69" s="25">
        <f t="shared" si="10"/>
        <v>56</v>
      </c>
      <c r="P69" s="25" t="str">
        <f t="shared" si="11"/>
        <v>Medium</v>
      </c>
      <c r="Q69" s="21" t="s">
        <v>610</v>
      </c>
      <c r="R69" s="20" t="s">
        <v>611</v>
      </c>
      <c r="S69" s="20" t="s">
        <v>612</v>
      </c>
    </row>
    <row r="70" spans="1:19" ht="30" customHeight="1" x14ac:dyDescent="0.3">
      <c r="A70" s="20" t="s">
        <v>37</v>
      </c>
      <c r="B70" s="20" t="s">
        <v>613</v>
      </c>
      <c r="C70" s="20" t="s">
        <v>128</v>
      </c>
      <c r="D70" s="21" t="s">
        <v>606</v>
      </c>
      <c r="E70" s="21" t="s">
        <v>614</v>
      </c>
      <c r="F70" s="21" t="s">
        <v>615</v>
      </c>
      <c r="G70" s="22">
        <v>2024</v>
      </c>
      <c r="H70" s="20" t="s">
        <v>67</v>
      </c>
      <c r="I70" s="23"/>
      <c r="J70" s="20" t="s">
        <v>77</v>
      </c>
      <c r="K70" s="24">
        <f t="shared" si="8"/>
        <v>12</v>
      </c>
      <c r="L70" s="24">
        <f t="shared" si="9"/>
        <v>25</v>
      </c>
      <c r="M70" s="24">
        <f>IFERROR(INDEX(Methodology!$B$27:$B$36,MATCH(J70,Methodology!$A$27:$A$36,0)),12)</f>
        <v>20</v>
      </c>
      <c r="N70" s="24">
        <f>IF(COUNTIF(Infrastructure!$A:$A,A70)&gt;=4,15,IF(COUNTIF(Infrastructure!$A:$A,A70)&gt;=2,10,IF(COUNTIF(Infrastructure!$A:$A,A70)&gt;=1,5,0)))</f>
        <v>5</v>
      </c>
      <c r="O70" s="25">
        <f t="shared" si="10"/>
        <v>62</v>
      </c>
      <c r="P70" s="25" t="str">
        <f t="shared" si="11"/>
        <v>Medium</v>
      </c>
      <c r="Q70" s="21" t="s">
        <v>616</v>
      </c>
      <c r="R70" s="20" t="s">
        <v>617</v>
      </c>
      <c r="S70" s="20" t="s">
        <v>618</v>
      </c>
    </row>
    <row r="71" spans="1:19" ht="30" customHeight="1" x14ac:dyDescent="0.3">
      <c r="A71" s="20" t="s">
        <v>39</v>
      </c>
      <c r="B71" s="20" t="s">
        <v>619</v>
      </c>
      <c r="C71" s="20" t="s">
        <v>119</v>
      </c>
      <c r="D71" s="21" t="s">
        <v>620</v>
      </c>
      <c r="E71" s="21" t="s">
        <v>621</v>
      </c>
      <c r="F71" s="21" t="s">
        <v>622</v>
      </c>
      <c r="G71" s="22">
        <v>2022</v>
      </c>
      <c r="H71" s="20" t="s">
        <v>67</v>
      </c>
      <c r="I71" s="23"/>
      <c r="J71" s="20" t="s">
        <v>76</v>
      </c>
      <c r="K71" s="24">
        <f t="shared" si="8"/>
        <v>12</v>
      </c>
      <c r="L71" s="24">
        <f t="shared" si="9"/>
        <v>20</v>
      </c>
      <c r="M71" s="24">
        <f>IFERROR(INDEX(Methodology!$B$27:$B$36,MATCH(J71,Methodology!$A$27:$A$36,0)),12)</f>
        <v>20</v>
      </c>
      <c r="N71" s="24">
        <f>IF(COUNTIF(Infrastructure!$A:$A,A71)&gt;=4,15,IF(COUNTIF(Infrastructure!$A:$A,A71)&gt;=2,10,IF(COUNTIF(Infrastructure!$A:$A,A71)&gt;=1,5,0)))</f>
        <v>10</v>
      </c>
      <c r="O71" s="25">
        <f t="shared" si="10"/>
        <v>62</v>
      </c>
      <c r="P71" s="25" t="str">
        <f t="shared" si="11"/>
        <v>Medium</v>
      </c>
      <c r="Q71" s="21" t="s">
        <v>623</v>
      </c>
      <c r="R71" s="20" t="s">
        <v>624</v>
      </c>
      <c r="S71" s="20" t="s">
        <v>625</v>
      </c>
    </row>
    <row r="72" spans="1:19" ht="30" customHeight="1" x14ac:dyDescent="0.3">
      <c r="A72" s="20" t="s">
        <v>39</v>
      </c>
      <c r="B72" s="20" t="s">
        <v>626</v>
      </c>
      <c r="C72" s="20" t="s">
        <v>201</v>
      </c>
      <c r="D72" s="21" t="s">
        <v>627</v>
      </c>
      <c r="E72" s="21" t="s">
        <v>628</v>
      </c>
      <c r="F72" s="21" t="s">
        <v>629</v>
      </c>
      <c r="G72" s="22">
        <v>2020</v>
      </c>
      <c r="H72" s="20" t="s">
        <v>67</v>
      </c>
      <c r="I72" s="23"/>
      <c r="J72" s="20" t="s">
        <v>84</v>
      </c>
      <c r="K72" s="24">
        <f t="shared" si="8"/>
        <v>12</v>
      </c>
      <c r="L72" s="24">
        <f t="shared" si="9"/>
        <v>8</v>
      </c>
      <c r="M72" s="24">
        <f>IFERROR(INDEX(Methodology!$B$27:$B$36,MATCH(J72,Methodology!$A$27:$A$36,0)),12)</f>
        <v>8</v>
      </c>
      <c r="N72" s="24">
        <f>IF(COUNTIF(Infrastructure!$A:$A,A72)&gt;=4,15,IF(COUNTIF(Infrastructure!$A:$A,A72)&gt;=2,10,IF(COUNTIF(Infrastructure!$A:$A,A72)&gt;=1,5,0)))</f>
        <v>10</v>
      </c>
      <c r="O72" s="25">
        <f t="shared" si="10"/>
        <v>38</v>
      </c>
      <c r="P72" s="25" t="str">
        <f t="shared" si="11"/>
        <v>Watch</v>
      </c>
      <c r="Q72" s="21" t="s">
        <v>630</v>
      </c>
      <c r="R72" s="20" t="s">
        <v>631</v>
      </c>
      <c r="S72" s="20" t="s">
        <v>355</v>
      </c>
    </row>
    <row r="73" spans="1:19" ht="30" customHeight="1" x14ac:dyDescent="0.3">
      <c r="A73" s="20" t="s">
        <v>39</v>
      </c>
      <c r="B73" s="20" t="s">
        <v>632</v>
      </c>
      <c r="C73" s="20" t="s">
        <v>214</v>
      </c>
      <c r="D73" s="21" t="s">
        <v>138</v>
      </c>
      <c r="E73" s="21" t="s">
        <v>633</v>
      </c>
      <c r="F73" s="21" t="s">
        <v>634</v>
      </c>
      <c r="G73" s="22">
        <v>2026</v>
      </c>
      <c r="H73" s="20" t="s">
        <v>67</v>
      </c>
      <c r="I73" s="23"/>
      <c r="J73" s="20" t="s">
        <v>79</v>
      </c>
      <c r="K73" s="24">
        <f t="shared" si="8"/>
        <v>12</v>
      </c>
      <c r="L73" s="24">
        <f t="shared" si="9"/>
        <v>25</v>
      </c>
      <c r="M73" s="24">
        <f>IFERROR(INDEX(Methodology!$B$27:$B$36,MATCH(J73,Methodology!$A$27:$A$36,0)),12)</f>
        <v>16</v>
      </c>
      <c r="N73" s="24">
        <f>IF(COUNTIF(Infrastructure!$A:$A,A73)&gt;=4,15,IF(COUNTIF(Infrastructure!$A:$A,A73)&gt;=2,10,IF(COUNTIF(Infrastructure!$A:$A,A73)&gt;=1,5,0)))</f>
        <v>10</v>
      </c>
      <c r="O73" s="25">
        <f t="shared" si="10"/>
        <v>63</v>
      </c>
      <c r="P73" s="25" t="str">
        <f t="shared" si="11"/>
        <v>Medium</v>
      </c>
      <c r="Q73" s="21" t="s">
        <v>635</v>
      </c>
      <c r="R73" s="20" t="s">
        <v>636</v>
      </c>
      <c r="S73" s="20" t="s">
        <v>543</v>
      </c>
    </row>
    <row r="74" spans="1:19" ht="30" customHeight="1" x14ac:dyDescent="0.3">
      <c r="A74" s="20" t="s">
        <v>41</v>
      </c>
      <c r="B74" s="20" t="s">
        <v>637</v>
      </c>
      <c r="C74" s="20" t="s">
        <v>119</v>
      </c>
      <c r="D74" s="21" t="s">
        <v>638</v>
      </c>
      <c r="E74" s="21" t="s">
        <v>639</v>
      </c>
      <c r="F74" s="21" t="s">
        <v>640</v>
      </c>
      <c r="G74" s="22">
        <v>2024</v>
      </c>
      <c r="H74" s="20" t="s">
        <v>641</v>
      </c>
      <c r="I74" s="23"/>
      <c r="J74" s="20" t="s">
        <v>76</v>
      </c>
      <c r="K74" s="24">
        <f t="shared" si="8"/>
        <v>12</v>
      </c>
      <c r="L74" s="24">
        <f t="shared" si="9"/>
        <v>25</v>
      </c>
      <c r="M74" s="24">
        <f>IFERROR(INDEX(Methodology!$B$27:$B$36,MATCH(J74,Methodology!$A$27:$A$36,0)),12)</f>
        <v>20</v>
      </c>
      <c r="N74" s="24">
        <f>IF(COUNTIF(Infrastructure!$A:$A,A74)&gt;=4,15,IF(COUNTIF(Infrastructure!$A:$A,A74)&gt;=2,10,IF(COUNTIF(Infrastructure!$A:$A,A74)&gt;=1,5,0)))</f>
        <v>10</v>
      </c>
      <c r="O74" s="25">
        <f t="shared" si="10"/>
        <v>67</v>
      </c>
      <c r="P74" s="25" t="str">
        <f t="shared" si="11"/>
        <v>Medium</v>
      </c>
      <c r="Q74" s="21" t="s">
        <v>642</v>
      </c>
      <c r="R74" s="20" t="s">
        <v>643</v>
      </c>
      <c r="S74" s="20" t="s">
        <v>644</v>
      </c>
    </row>
    <row r="75" spans="1:19" ht="30" customHeight="1" x14ac:dyDescent="0.3">
      <c r="A75" s="20" t="s">
        <v>41</v>
      </c>
      <c r="B75" s="20" t="s">
        <v>645</v>
      </c>
      <c r="C75" s="20" t="s">
        <v>266</v>
      </c>
      <c r="D75" s="21" t="s">
        <v>638</v>
      </c>
      <c r="E75" s="21" t="s">
        <v>646</v>
      </c>
      <c r="F75" s="21" t="s">
        <v>647</v>
      </c>
      <c r="G75" s="22">
        <v>2025</v>
      </c>
      <c r="H75" s="20" t="s">
        <v>67</v>
      </c>
      <c r="I75" s="23"/>
      <c r="J75" s="20" t="s">
        <v>78</v>
      </c>
      <c r="K75" s="24">
        <f t="shared" si="8"/>
        <v>12</v>
      </c>
      <c r="L75" s="24">
        <f t="shared" si="9"/>
        <v>25</v>
      </c>
      <c r="M75" s="24">
        <f>IFERROR(INDEX(Methodology!$B$27:$B$36,MATCH(J75,Methodology!$A$27:$A$36,0)),12)</f>
        <v>18</v>
      </c>
      <c r="N75" s="24">
        <f>IF(COUNTIF(Infrastructure!$A:$A,A75)&gt;=4,15,IF(COUNTIF(Infrastructure!$A:$A,A75)&gt;=2,10,IF(COUNTIF(Infrastructure!$A:$A,A75)&gt;=1,5,0)))</f>
        <v>10</v>
      </c>
      <c r="O75" s="25">
        <f t="shared" si="10"/>
        <v>65</v>
      </c>
      <c r="P75" s="25" t="str">
        <f t="shared" si="11"/>
        <v>Medium</v>
      </c>
      <c r="Q75" s="21" t="s">
        <v>648</v>
      </c>
      <c r="R75" s="20" t="s">
        <v>649</v>
      </c>
      <c r="S75" s="20" t="s">
        <v>566</v>
      </c>
    </row>
    <row r="76" spans="1:19" ht="30" customHeight="1" x14ac:dyDescent="0.3">
      <c r="A76" s="20" t="s">
        <v>41</v>
      </c>
      <c r="B76" s="20" t="s">
        <v>650</v>
      </c>
      <c r="C76" s="20" t="s">
        <v>128</v>
      </c>
      <c r="D76" s="21" t="s">
        <v>208</v>
      </c>
      <c r="E76" s="21" t="s">
        <v>651</v>
      </c>
      <c r="F76" s="21" t="s">
        <v>652</v>
      </c>
      <c r="G76" s="22">
        <v>2025</v>
      </c>
      <c r="H76" s="20" t="s">
        <v>653</v>
      </c>
      <c r="I76" s="23"/>
      <c r="J76" s="20" t="s">
        <v>82</v>
      </c>
      <c r="K76" s="24">
        <f t="shared" si="8"/>
        <v>12</v>
      </c>
      <c r="L76" s="24">
        <f t="shared" si="9"/>
        <v>25</v>
      </c>
      <c r="M76" s="24">
        <f>IFERROR(INDEX(Methodology!$B$27:$B$36,MATCH(J76,Methodology!$A$27:$A$36,0)),12)</f>
        <v>12</v>
      </c>
      <c r="N76" s="24">
        <f>IF(COUNTIF(Infrastructure!$A:$A,A76)&gt;=4,15,IF(COUNTIF(Infrastructure!$A:$A,A76)&gt;=2,10,IF(COUNTIF(Infrastructure!$A:$A,A76)&gt;=1,5,0)))</f>
        <v>10</v>
      </c>
      <c r="O76" s="25">
        <f t="shared" si="10"/>
        <v>59</v>
      </c>
      <c r="P76" s="25" t="str">
        <f t="shared" si="11"/>
        <v>Medium</v>
      </c>
      <c r="Q76" s="21" t="s">
        <v>654</v>
      </c>
      <c r="R76" s="20" t="s">
        <v>655</v>
      </c>
      <c r="S76" s="20" t="s">
        <v>656</v>
      </c>
    </row>
    <row r="77" spans="1:19" ht="30" customHeight="1" x14ac:dyDescent="0.3">
      <c r="A77" s="20" t="s">
        <v>41</v>
      </c>
      <c r="B77" s="20" t="s">
        <v>657</v>
      </c>
      <c r="C77" s="20" t="s">
        <v>214</v>
      </c>
      <c r="D77" s="21" t="s">
        <v>400</v>
      </c>
      <c r="E77" s="21" t="s">
        <v>658</v>
      </c>
      <c r="F77" s="21" t="s">
        <v>659</v>
      </c>
      <c r="G77" s="22">
        <v>2020</v>
      </c>
      <c r="H77" s="20" t="s">
        <v>67</v>
      </c>
      <c r="I77" s="23"/>
      <c r="J77" s="20" t="s">
        <v>79</v>
      </c>
      <c r="K77" s="24">
        <f t="shared" si="8"/>
        <v>12</v>
      </c>
      <c r="L77" s="24">
        <f t="shared" si="9"/>
        <v>8</v>
      </c>
      <c r="M77" s="24">
        <f>IFERROR(INDEX(Methodology!$B$27:$B$36,MATCH(J77,Methodology!$A$27:$A$36,0)),12)</f>
        <v>16</v>
      </c>
      <c r="N77" s="24">
        <f>IF(COUNTIF(Infrastructure!$A:$A,A77)&gt;=4,15,IF(COUNTIF(Infrastructure!$A:$A,A77)&gt;=2,10,IF(COUNTIF(Infrastructure!$A:$A,A77)&gt;=1,5,0)))</f>
        <v>10</v>
      </c>
      <c r="O77" s="25">
        <f t="shared" si="10"/>
        <v>46</v>
      </c>
      <c r="P77" s="25" t="str">
        <f t="shared" si="11"/>
        <v>Watch</v>
      </c>
      <c r="Q77" s="21" t="s">
        <v>660</v>
      </c>
      <c r="R77" s="20" t="s">
        <v>661</v>
      </c>
      <c r="S77" s="20" t="s">
        <v>662</v>
      </c>
    </row>
    <row r="78" spans="1:19" ht="30" customHeight="1" x14ac:dyDescent="0.3">
      <c r="A78" s="20" t="s">
        <v>42</v>
      </c>
      <c r="B78" s="20" t="s">
        <v>663</v>
      </c>
      <c r="C78" s="20" t="s">
        <v>119</v>
      </c>
      <c r="D78" s="21" t="s">
        <v>308</v>
      </c>
      <c r="E78" s="21" t="s">
        <v>664</v>
      </c>
      <c r="F78" s="21" t="s">
        <v>665</v>
      </c>
      <c r="G78" s="22">
        <v>2024</v>
      </c>
      <c r="H78" s="20" t="s">
        <v>666</v>
      </c>
      <c r="I78" s="23">
        <v>320</v>
      </c>
      <c r="J78" s="20" t="s">
        <v>76</v>
      </c>
      <c r="K78" s="24">
        <f t="shared" si="8"/>
        <v>40</v>
      </c>
      <c r="L78" s="24">
        <f t="shared" si="9"/>
        <v>25</v>
      </c>
      <c r="M78" s="24">
        <f>IFERROR(INDEX(Methodology!$B$27:$B$36,MATCH(J78,Methodology!$A$27:$A$36,0)),12)</f>
        <v>20</v>
      </c>
      <c r="N78" s="24">
        <f>IF(COUNTIF(Infrastructure!$A:$A,A78)&gt;=4,15,IF(COUNTIF(Infrastructure!$A:$A,A78)&gt;=2,10,IF(COUNTIF(Infrastructure!$A:$A,A78)&gt;=1,5,0)))</f>
        <v>15</v>
      </c>
      <c r="O78" s="25">
        <f t="shared" si="10"/>
        <v>100</v>
      </c>
      <c r="P78" s="25" t="str">
        <f t="shared" si="11"/>
        <v>High</v>
      </c>
      <c r="Q78" s="21" t="s">
        <v>667</v>
      </c>
      <c r="R78" s="20" t="s">
        <v>668</v>
      </c>
      <c r="S78" s="20" t="s">
        <v>669</v>
      </c>
    </row>
    <row r="79" spans="1:19" ht="30" customHeight="1" x14ac:dyDescent="0.3">
      <c r="A79" s="20" t="s">
        <v>42</v>
      </c>
      <c r="B79" s="20" t="s">
        <v>670</v>
      </c>
      <c r="C79" s="20" t="s">
        <v>119</v>
      </c>
      <c r="D79" s="21" t="s">
        <v>671</v>
      </c>
      <c r="E79" s="21" t="s">
        <v>672</v>
      </c>
      <c r="F79" s="21" t="s">
        <v>673</v>
      </c>
      <c r="G79" s="22">
        <v>2026</v>
      </c>
      <c r="H79" s="20" t="s">
        <v>674</v>
      </c>
      <c r="I79" s="23">
        <v>500</v>
      </c>
      <c r="J79" s="20" t="s">
        <v>76</v>
      </c>
      <c r="K79" s="24">
        <f t="shared" si="8"/>
        <v>40</v>
      </c>
      <c r="L79" s="24">
        <f t="shared" si="9"/>
        <v>25</v>
      </c>
      <c r="M79" s="24">
        <f>IFERROR(INDEX(Methodology!$B$27:$B$36,MATCH(J79,Methodology!$A$27:$A$36,0)),12)</f>
        <v>20</v>
      </c>
      <c r="N79" s="24">
        <f>IF(COUNTIF(Infrastructure!$A:$A,A79)&gt;=4,15,IF(COUNTIF(Infrastructure!$A:$A,A79)&gt;=2,10,IF(COUNTIF(Infrastructure!$A:$A,A79)&gt;=1,5,0)))</f>
        <v>15</v>
      </c>
      <c r="O79" s="25">
        <f t="shared" si="10"/>
        <v>100</v>
      </c>
      <c r="P79" s="25" t="str">
        <f t="shared" si="11"/>
        <v>High</v>
      </c>
      <c r="Q79" s="21" t="s">
        <v>675</v>
      </c>
      <c r="R79" s="20" t="s">
        <v>676</v>
      </c>
      <c r="S79" s="20" t="s">
        <v>355</v>
      </c>
    </row>
    <row r="80" spans="1:19" ht="30" customHeight="1" x14ac:dyDescent="0.3">
      <c r="A80" s="20" t="s">
        <v>42</v>
      </c>
      <c r="B80" s="20" t="s">
        <v>677</v>
      </c>
      <c r="C80" s="20" t="s">
        <v>119</v>
      </c>
      <c r="D80" s="21" t="s">
        <v>223</v>
      </c>
      <c r="E80" s="21" t="s">
        <v>678</v>
      </c>
      <c r="F80" s="21" t="s">
        <v>679</v>
      </c>
      <c r="G80" s="22">
        <v>2026</v>
      </c>
      <c r="H80" s="20" t="s">
        <v>680</v>
      </c>
      <c r="I80" s="23"/>
      <c r="J80" s="20" t="s">
        <v>76</v>
      </c>
      <c r="K80" s="24">
        <f t="shared" si="8"/>
        <v>12</v>
      </c>
      <c r="L80" s="24">
        <f t="shared" si="9"/>
        <v>25</v>
      </c>
      <c r="M80" s="24">
        <f>IFERROR(INDEX(Methodology!$B$27:$B$36,MATCH(J80,Methodology!$A$27:$A$36,0)),12)</f>
        <v>20</v>
      </c>
      <c r="N80" s="24">
        <f>IF(COUNTIF(Infrastructure!$A:$A,A80)&gt;=4,15,IF(COUNTIF(Infrastructure!$A:$A,A80)&gt;=2,10,IF(COUNTIF(Infrastructure!$A:$A,A80)&gt;=1,5,0)))</f>
        <v>15</v>
      </c>
      <c r="O80" s="25">
        <f t="shared" si="10"/>
        <v>72</v>
      </c>
      <c r="P80" s="25" t="str">
        <f t="shared" si="11"/>
        <v>High</v>
      </c>
      <c r="Q80" s="21" t="s">
        <v>681</v>
      </c>
      <c r="R80" s="20" t="s">
        <v>682</v>
      </c>
      <c r="S80" s="20" t="s">
        <v>683</v>
      </c>
    </row>
    <row r="81" spans="1:19" ht="30" customHeight="1" x14ac:dyDescent="0.3">
      <c r="A81" s="20" t="s">
        <v>42</v>
      </c>
      <c r="B81" s="20" t="s">
        <v>343</v>
      </c>
      <c r="C81" s="20" t="s">
        <v>137</v>
      </c>
      <c r="D81" s="21" t="s">
        <v>492</v>
      </c>
      <c r="E81" s="21" t="s">
        <v>684</v>
      </c>
      <c r="F81" s="21" t="s">
        <v>685</v>
      </c>
      <c r="G81" s="22">
        <v>2023</v>
      </c>
      <c r="H81" s="20" t="s">
        <v>686</v>
      </c>
      <c r="I81" s="23">
        <v>250</v>
      </c>
      <c r="J81" s="20" t="s">
        <v>80</v>
      </c>
      <c r="K81" s="24">
        <f t="shared" si="8"/>
        <v>40</v>
      </c>
      <c r="L81" s="24">
        <f t="shared" si="9"/>
        <v>25</v>
      </c>
      <c r="M81" s="24">
        <f>IFERROR(INDEX(Methodology!$B$27:$B$36,MATCH(J81,Methodology!$A$27:$A$36,0)),12)</f>
        <v>14</v>
      </c>
      <c r="N81" s="24">
        <f>IF(COUNTIF(Infrastructure!$A:$A,A81)&gt;=4,15,IF(COUNTIF(Infrastructure!$A:$A,A81)&gt;=2,10,IF(COUNTIF(Infrastructure!$A:$A,A81)&gt;=1,5,0)))</f>
        <v>15</v>
      </c>
      <c r="O81" s="25">
        <f t="shared" si="10"/>
        <v>94</v>
      </c>
      <c r="P81" s="25" t="str">
        <f t="shared" si="11"/>
        <v>High</v>
      </c>
      <c r="Q81" s="21" t="s">
        <v>687</v>
      </c>
      <c r="R81" s="20" t="s">
        <v>688</v>
      </c>
      <c r="S81" s="20" t="s">
        <v>689</v>
      </c>
    </row>
    <row r="82" spans="1:19" ht="30" customHeight="1" x14ac:dyDescent="0.3">
      <c r="A82" s="20" t="s">
        <v>42</v>
      </c>
      <c r="B82" s="20" t="s">
        <v>690</v>
      </c>
      <c r="C82" s="20" t="s">
        <v>137</v>
      </c>
      <c r="D82" s="21" t="s">
        <v>691</v>
      </c>
      <c r="E82" s="21" t="s">
        <v>692</v>
      </c>
      <c r="F82" s="21" t="s">
        <v>693</v>
      </c>
      <c r="G82" s="22">
        <v>2025</v>
      </c>
      <c r="H82" s="20" t="s">
        <v>67</v>
      </c>
      <c r="I82" s="23"/>
      <c r="J82" s="20" t="s">
        <v>83</v>
      </c>
      <c r="K82" s="24">
        <f t="shared" si="8"/>
        <v>12</v>
      </c>
      <c r="L82" s="24">
        <f t="shared" si="9"/>
        <v>25</v>
      </c>
      <c r="M82" s="24">
        <f>IFERROR(INDEX(Methodology!$B$27:$B$36,MATCH(J82,Methodology!$A$27:$A$36,0)),12)</f>
        <v>10</v>
      </c>
      <c r="N82" s="24">
        <f>IF(COUNTIF(Infrastructure!$A:$A,A82)&gt;=4,15,IF(COUNTIF(Infrastructure!$A:$A,A82)&gt;=2,10,IF(COUNTIF(Infrastructure!$A:$A,A82)&gt;=1,5,0)))</f>
        <v>15</v>
      </c>
      <c r="O82" s="25">
        <f t="shared" si="10"/>
        <v>62</v>
      </c>
      <c r="P82" s="25" t="str">
        <f t="shared" si="11"/>
        <v>Medium</v>
      </c>
      <c r="Q82" s="21" t="s">
        <v>694</v>
      </c>
      <c r="R82" s="20" t="s">
        <v>695</v>
      </c>
      <c r="S82" s="20" t="s">
        <v>696</v>
      </c>
    </row>
    <row r="83" spans="1:19" ht="30" customHeight="1" x14ac:dyDescent="0.3">
      <c r="A83" s="20" t="s">
        <v>42</v>
      </c>
      <c r="B83" s="20" t="s">
        <v>697</v>
      </c>
      <c r="C83" s="20" t="s">
        <v>201</v>
      </c>
      <c r="D83" s="21" t="s">
        <v>698</v>
      </c>
      <c r="E83" s="21" t="s">
        <v>699</v>
      </c>
      <c r="F83" s="21" t="s">
        <v>700</v>
      </c>
      <c r="G83" s="22">
        <v>2026</v>
      </c>
      <c r="H83" s="20" t="s">
        <v>67</v>
      </c>
      <c r="I83" s="23"/>
      <c r="J83" s="20" t="s">
        <v>84</v>
      </c>
      <c r="K83" s="24">
        <f t="shared" si="8"/>
        <v>12</v>
      </c>
      <c r="L83" s="24">
        <f t="shared" si="9"/>
        <v>25</v>
      </c>
      <c r="M83" s="24">
        <f>IFERROR(INDEX(Methodology!$B$27:$B$36,MATCH(J83,Methodology!$A$27:$A$36,0)),12)</f>
        <v>8</v>
      </c>
      <c r="N83" s="24">
        <f>IF(COUNTIF(Infrastructure!$A:$A,A83)&gt;=4,15,IF(COUNTIF(Infrastructure!$A:$A,A83)&gt;=2,10,IF(COUNTIF(Infrastructure!$A:$A,A83)&gt;=1,5,0)))</f>
        <v>15</v>
      </c>
      <c r="O83" s="25">
        <f t="shared" si="10"/>
        <v>60</v>
      </c>
      <c r="P83" s="25" t="str">
        <f t="shared" si="11"/>
        <v>Medium</v>
      </c>
      <c r="Q83" s="21" t="s">
        <v>701</v>
      </c>
      <c r="R83" s="20" t="s">
        <v>702</v>
      </c>
      <c r="S83" s="20" t="s">
        <v>703</v>
      </c>
    </row>
    <row r="84" spans="1:19" ht="30" customHeight="1" x14ac:dyDescent="0.3">
      <c r="A84" s="20" t="s">
        <v>42</v>
      </c>
      <c r="B84" s="20" t="s">
        <v>704</v>
      </c>
      <c r="C84" s="20" t="s">
        <v>266</v>
      </c>
      <c r="D84" s="21" t="s">
        <v>308</v>
      </c>
      <c r="E84" s="21" t="s">
        <v>705</v>
      </c>
      <c r="F84" s="21" t="s">
        <v>706</v>
      </c>
      <c r="G84" s="22">
        <v>2025</v>
      </c>
      <c r="H84" s="20" t="s">
        <v>707</v>
      </c>
      <c r="I84" s="23">
        <v>22</v>
      </c>
      <c r="J84" s="20" t="s">
        <v>78</v>
      </c>
      <c r="K84" s="24">
        <f t="shared" si="8"/>
        <v>32</v>
      </c>
      <c r="L84" s="24">
        <f t="shared" si="9"/>
        <v>25</v>
      </c>
      <c r="M84" s="24">
        <f>IFERROR(INDEX(Methodology!$B$27:$B$36,MATCH(J84,Methodology!$A$27:$A$36,0)),12)</f>
        <v>18</v>
      </c>
      <c r="N84" s="24">
        <f>IF(COUNTIF(Infrastructure!$A:$A,A84)&gt;=4,15,IF(COUNTIF(Infrastructure!$A:$A,A84)&gt;=2,10,IF(COUNTIF(Infrastructure!$A:$A,A84)&gt;=1,5,0)))</f>
        <v>15</v>
      </c>
      <c r="O84" s="25">
        <f t="shared" si="10"/>
        <v>90</v>
      </c>
      <c r="P84" s="25" t="str">
        <f t="shared" si="11"/>
        <v>High</v>
      </c>
      <c r="Q84" s="21" t="s">
        <v>708</v>
      </c>
      <c r="R84" s="20" t="s">
        <v>709</v>
      </c>
      <c r="S84" s="20" t="s">
        <v>710</v>
      </c>
    </row>
    <row r="85" spans="1:19" ht="30" customHeight="1" x14ac:dyDescent="0.3">
      <c r="A85" s="20" t="s">
        <v>42</v>
      </c>
      <c r="B85" s="20" t="s">
        <v>711</v>
      </c>
      <c r="C85" s="20" t="s">
        <v>128</v>
      </c>
      <c r="D85" s="21" t="s">
        <v>712</v>
      </c>
      <c r="E85" s="21" t="s">
        <v>713</v>
      </c>
      <c r="F85" s="21" t="s">
        <v>714</v>
      </c>
      <c r="G85" s="22">
        <v>2030</v>
      </c>
      <c r="H85" s="20" t="s">
        <v>715</v>
      </c>
      <c r="I85" s="23">
        <v>100</v>
      </c>
      <c r="J85" s="20" t="s">
        <v>82</v>
      </c>
      <c r="K85" s="24">
        <f t="shared" si="8"/>
        <v>40</v>
      </c>
      <c r="L85" s="24">
        <f t="shared" si="9"/>
        <v>25</v>
      </c>
      <c r="M85" s="24">
        <f>IFERROR(INDEX(Methodology!$B$27:$B$36,MATCH(J85,Methodology!$A$27:$A$36,0)),12)</f>
        <v>12</v>
      </c>
      <c r="N85" s="24">
        <f>IF(COUNTIF(Infrastructure!$A:$A,A85)&gt;=4,15,IF(COUNTIF(Infrastructure!$A:$A,A85)&gt;=2,10,IF(COUNTIF(Infrastructure!$A:$A,A85)&gt;=1,5,0)))</f>
        <v>15</v>
      </c>
      <c r="O85" s="25">
        <f t="shared" si="10"/>
        <v>92</v>
      </c>
      <c r="P85" s="25" t="str">
        <f t="shared" si="11"/>
        <v>High</v>
      </c>
      <c r="Q85" s="21" t="s">
        <v>716</v>
      </c>
      <c r="R85" s="20" t="s">
        <v>717</v>
      </c>
      <c r="S85" s="20" t="s">
        <v>718</v>
      </c>
    </row>
    <row r="86" spans="1:19" ht="30" customHeight="1" x14ac:dyDescent="0.3">
      <c r="A86" s="20" t="s">
        <v>42</v>
      </c>
      <c r="B86" s="20" t="s">
        <v>719</v>
      </c>
      <c r="C86" s="20" t="s">
        <v>128</v>
      </c>
      <c r="D86" s="21" t="s">
        <v>720</v>
      </c>
      <c r="E86" s="21" t="s">
        <v>721</v>
      </c>
      <c r="F86" s="21" t="s">
        <v>722</v>
      </c>
      <c r="G86" s="22">
        <v>2025</v>
      </c>
      <c r="H86" s="20" t="s">
        <v>180</v>
      </c>
      <c r="I86" s="23">
        <v>50</v>
      </c>
      <c r="J86" s="20" t="s">
        <v>77</v>
      </c>
      <c r="K86" s="24">
        <f t="shared" si="8"/>
        <v>32</v>
      </c>
      <c r="L86" s="24">
        <f t="shared" si="9"/>
        <v>25</v>
      </c>
      <c r="M86" s="24">
        <f>IFERROR(INDEX(Methodology!$B$27:$B$36,MATCH(J86,Methodology!$A$27:$A$36,0)),12)</f>
        <v>20</v>
      </c>
      <c r="N86" s="24">
        <f>IF(COUNTIF(Infrastructure!$A:$A,A86)&gt;=4,15,IF(COUNTIF(Infrastructure!$A:$A,A86)&gt;=2,10,IF(COUNTIF(Infrastructure!$A:$A,A86)&gt;=1,5,0)))</f>
        <v>15</v>
      </c>
      <c r="O86" s="25">
        <f t="shared" si="10"/>
        <v>92</v>
      </c>
      <c r="P86" s="25" t="str">
        <f t="shared" si="11"/>
        <v>High</v>
      </c>
      <c r="Q86" s="21" t="s">
        <v>723</v>
      </c>
      <c r="R86" s="20" t="s">
        <v>724</v>
      </c>
      <c r="S86" s="20" t="s">
        <v>725</v>
      </c>
    </row>
    <row r="87" spans="1:19" ht="30" customHeight="1" x14ac:dyDescent="0.3">
      <c r="A87" s="20" t="s">
        <v>42</v>
      </c>
      <c r="B87" s="20" t="s">
        <v>726</v>
      </c>
      <c r="C87" s="20" t="s">
        <v>214</v>
      </c>
      <c r="D87" s="21" t="s">
        <v>727</v>
      </c>
      <c r="E87" s="21" t="s">
        <v>728</v>
      </c>
      <c r="F87" s="21" t="s">
        <v>729</v>
      </c>
      <c r="G87" s="22">
        <v>2026</v>
      </c>
      <c r="H87" s="20" t="s">
        <v>730</v>
      </c>
      <c r="I87" s="23">
        <v>3350</v>
      </c>
      <c r="J87" s="20" t="s">
        <v>79</v>
      </c>
      <c r="K87" s="24">
        <f t="shared" si="8"/>
        <v>40</v>
      </c>
      <c r="L87" s="24">
        <f t="shared" si="9"/>
        <v>25</v>
      </c>
      <c r="M87" s="24">
        <f>IFERROR(INDEX(Methodology!$B$27:$B$36,MATCH(J87,Methodology!$A$27:$A$36,0)),12)</f>
        <v>16</v>
      </c>
      <c r="N87" s="24">
        <f>IF(COUNTIF(Infrastructure!$A:$A,A87)&gt;=4,15,IF(COUNTIF(Infrastructure!$A:$A,A87)&gt;=2,10,IF(COUNTIF(Infrastructure!$A:$A,A87)&gt;=1,5,0)))</f>
        <v>15</v>
      </c>
      <c r="O87" s="25">
        <f t="shared" si="10"/>
        <v>96</v>
      </c>
      <c r="P87" s="25" t="str">
        <f t="shared" si="11"/>
        <v>High</v>
      </c>
      <c r="Q87" s="21" t="s">
        <v>731</v>
      </c>
      <c r="R87" s="20" t="s">
        <v>732</v>
      </c>
      <c r="S87" s="20" t="s">
        <v>733</v>
      </c>
    </row>
    <row r="88" spans="1:19" ht="30" customHeight="1" x14ac:dyDescent="0.3">
      <c r="A88" s="20" t="s">
        <v>42</v>
      </c>
      <c r="B88" s="20" t="s">
        <v>734</v>
      </c>
      <c r="C88" s="20" t="s">
        <v>214</v>
      </c>
      <c r="D88" s="21" t="s">
        <v>301</v>
      </c>
      <c r="E88" s="21" t="s">
        <v>735</v>
      </c>
      <c r="F88" s="21" t="s">
        <v>736</v>
      </c>
      <c r="G88" s="22">
        <v>2025</v>
      </c>
      <c r="H88" s="20" t="s">
        <v>67</v>
      </c>
      <c r="I88" s="23"/>
      <c r="J88" s="20" t="s">
        <v>79</v>
      </c>
      <c r="K88" s="24">
        <f t="shared" si="8"/>
        <v>12</v>
      </c>
      <c r="L88" s="24">
        <f t="shared" si="9"/>
        <v>25</v>
      </c>
      <c r="M88" s="24">
        <f>IFERROR(INDEX(Methodology!$B$27:$B$36,MATCH(J88,Methodology!$A$27:$A$36,0)),12)</f>
        <v>16</v>
      </c>
      <c r="N88" s="24">
        <f>IF(COUNTIF(Infrastructure!$A:$A,A88)&gt;=4,15,IF(COUNTIF(Infrastructure!$A:$A,A88)&gt;=2,10,IF(COUNTIF(Infrastructure!$A:$A,A88)&gt;=1,5,0)))</f>
        <v>15</v>
      </c>
      <c r="O88" s="25">
        <f t="shared" si="10"/>
        <v>68</v>
      </c>
      <c r="P88" s="25" t="str">
        <f t="shared" si="11"/>
        <v>Medium</v>
      </c>
      <c r="Q88" s="21" t="s">
        <v>737</v>
      </c>
      <c r="R88" s="20" t="s">
        <v>738</v>
      </c>
      <c r="S88" s="20" t="s">
        <v>739</v>
      </c>
    </row>
    <row r="89" spans="1:19" ht="30" customHeight="1" x14ac:dyDescent="0.3">
      <c r="A89" s="20" t="s">
        <v>42</v>
      </c>
      <c r="B89" s="20" t="s">
        <v>740</v>
      </c>
      <c r="C89" s="20" t="s">
        <v>214</v>
      </c>
      <c r="D89" s="21" t="s">
        <v>741</v>
      </c>
      <c r="E89" s="21" t="s">
        <v>742</v>
      </c>
      <c r="F89" s="21" t="s">
        <v>743</v>
      </c>
      <c r="G89" s="22">
        <v>2026</v>
      </c>
      <c r="H89" s="20" t="s">
        <v>744</v>
      </c>
      <c r="I89" s="23">
        <v>2200</v>
      </c>
      <c r="J89" s="20" t="s">
        <v>79</v>
      </c>
      <c r="K89" s="24">
        <f t="shared" si="8"/>
        <v>40</v>
      </c>
      <c r="L89" s="24">
        <f t="shared" si="9"/>
        <v>25</v>
      </c>
      <c r="M89" s="24">
        <f>IFERROR(INDEX(Methodology!$B$27:$B$36,MATCH(J89,Methodology!$A$27:$A$36,0)),12)</f>
        <v>16</v>
      </c>
      <c r="N89" s="24">
        <f>IF(COUNTIF(Infrastructure!$A:$A,A89)&gt;=4,15,IF(COUNTIF(Infrastructure!$A:$A,A89)&gt;=2,10,IF(COUNTIF(Infrastructure!$A:$A,A89)&gt;=1,5,0)))</f>
        <v>15</v>
      </c>
      <c r="O89" s="25">
        <f t="shared" si="10"/>
        <v>96</v>
      </c>
      <c r="P89" s="25" t="str">
        <f t="shared" si="11"/>
        <v>High</v>
      </c>
      <c r="Q89" s="21" t="s">
        <v>745</v>
      </c>
      <c r="R89" s="20" t="s">
        <v>746</v>
      </c>
      <c r="S89" s="20" t="s">
        <v>747</v>
      </c>
    </row>
    <row r="90" spans="1:19" ht="30" customHeight="1" x14ac:dyDescent="0.3">
      <c r="A90" s="20" t="s">
        <v>44</v>
      </c>
      <c r="B90" s="20" t="s">
        <v>748</v>
      </c>
      <c r="C90" s="20" t="s">
        <v>119</v>
      </c>
      <c r="D90" s="21" t="s">
        <v>749</v>
      </c>
      <c r="E90" s="21" t="s">
        <v>750</v>
      </c>
      <c r="F90" s="21" t="s">
        <v>751</v>
      </c>
      <c r="G90" s="22">
        <v>2025</v>
      </c>
      <c r="H90" s="20" t="s">
        <v>752</v>
      </c>
      <c r="I90" s="23">
        <v>180</v>
      </c>
      <c r="J90" s="20" t="s">
        <v>76</v>
      </c>
      <c r="K90" s="24">
        <f t="shared" si="8"/>
        <v>40</v>
      </c>
      <c r="L90" s="24">
        <f t="shared" si="9"/>
        <v>25</v>
      </c>
      <c r="M90" s="24">
        <f>IFERROR(INDEX(Methodology!$B$27:$B$36,MATCH(J90,Methodology!$A$27:$A$36,0)),12)</f>
        <v>20</v>
      </c>
      <c r="N90" s="24">
        <f>IF(COUNTIF(Infrastructure!$A:$A,A90)&gt;=4,15,IF(COUNTIF(Infrastructure!$A:$A,A90)&gt;=2,10,IF(COUNTIF(Infrastructure!$A:$A,A90)&gt;=1,5,0)))</f>
        <v>15</v>
      </c>
      <c r="O90" s="25">
        <f t="shared" si="10"/>
        <v>100</v>
      </c>
      <c r="P90" s="25" t="str">
        <f t="shared" si="11"/>
        <v>High</v>
      </c>
      <c r="Q90" s="21" t="s">
        <v>753</v>
      </c>
      <c r="R90" s="20" t="s">
        <v>754</v>
      </c>
      <c r="S90" s="20" t="s">
        <v>755</v>
      </c>
    </row>
    <row r="91" spans="1:19" ht="30" customHeight="1" x14ac:dyDescent="0.3">
      <c r="A91" s="20" t="s">
        <v>44</v>
      </c>
      <c r="B91" s="20" t="s">
        <v>756</v>
      </c>
      <c r="C91" s="20" t="s">
        <v>119</v>
      </c>
      <c r="D91" s="21" t="s">
        <v>287</v>
      </c>
      <c r="E91" s="21" t="s">
        <v>757</v>
      </c>
      <c r="F91" s="21" t="s">
        <v>758</v>
      </c>
      <c r="G91" s="22">
        <v>2026</v>
      </c>
      <c r="H91" s="20" t="s">
        <v>759</v>
      </c>
      <c r="I91" s="23">
        <v>120</v>
      </c>
      <c r="J91" s="20" t="s">
        <v>76</v>
      </c>
      <c r="K91" s="24">
        <f t="shared" si="8"/>
        <v>40</v>
      </c>
      <c r="L91" s="24">
        <f t="shared" si="9"/>
        <v>25</v>
      </c>
      <c r="M91" s="24">
        <f>IFERROR(INDEX(Methodology!$B$27:$B$36,MATCH(J91,Methodology!$A$27:$A$36,0)),12)</f>
        <v>20</v>
      </c>
      <c r="N91" s="24">
        <f>IF(COUNTIF(Infrastructure!$A:$A,A91)&gt;=4,15,IF(COUNTIF(Infrastructure!$A:$A,A91)&gt;=2,10,IF(COUNTIF(Infrastructure!$A:$A,A91)&gt;=1,5,0)))</f>
        <v>15</v>
      </c>
      <c r="O91" s="25">
        <f t="shared" si="10"/>
        <v>100</v>
      </c>
      <c r="P91" s="25" t="str">
        <f t="shared" si="11"/>
        <v>High</v>
      </c>
      <c r="Q91" s="21" t="s">
        <v>760</v>
      </c>
      <c r="R91" s="20" t="s">
        <v>761</v>
      </c>
      <c r="S91" s="20" t="s">
        <v>349</v>
      </c>
    </row>
    <row r="92" spans="1:19" ht="30" customHeight="1" x14ac:dyDescent="0.3">
      <c r="A92" s="20" t="s">
        <v>44</v>
      </c>
      <c r="B92" s="20" t="s">
        <v>762</v>
      </c>
      <c r="C92" s="20" t="s">
        <v>119</v>
      </c>
      <c r="D92" s="21" t="s">
        <v>763</v>
      </c>
      <c r="E92" s="21" t="s">
        <v>764</v>
      </c>
      <c r="F92" s="21" t="s">
        <v>765</v>
      </c>
      <c r="G92" s="22">
        <v>2026</v>
      </c>
      <c r="H92" s="20" t="s">
        <v>766</v>
      </c>
      <c r="I92" s="23">
        <v>300</v>
      </c>
      <c r="J92" s="20" t="s">
        <v>76</v>
      </c>
      <c r="K92" s="24">
        <f t="shared" si="8"/>
        <v>40</v>
      </c>
      <c r="L92" s="24">
        <f t="shared" si="9"/>
        <v>25</v>
      </c>
      <c r="M92" s="24">
        <f>IFERROR(INDEX(Methodology!$B$27:$B$36,MATCH(J92,Methodology!$A$27:$A$36,0)),12)</f>
        <v>20</v>
      </c>
      <c r="N92" s="24">
        <f>IF(COUNTIF(Infrastructure!$A:$A,A92)&gt;=4,15,IF(COUNTIF(Infrastructure!$A:$A,A92)&gt;=2,10,IF(COUNTIF(Infrastructure!$A:$A,A92)&gt;=1,5,0)))</f>
        <v>15</v>
      </c>
      <c r="O92" s="25">
        <f t="shared" si="10"/>
        <v>100</v>
      </c>
      <c r="P92" s="25" t="str">
        <f t="shared" si="11"/>
        <v>High</v>
      </c>
      <c r="Q92" s="21" t="s">
        <v>767</v>
      </c>
      <c r="R92" s="20" t="s">
        <v>768</v>
      </c>
      <c r="S92" s="20" t="s">
        <v>769</v>
      </c>
    </row>
    <row r="93" spans="1:19" ht="30" customHeight="1" x14ac:dyDescent="0.3">
      <c r="A93" s="20" t="s">
        <v>44</v>
      </c>
      <c r="B93" s="20" t="s">
        <v>770</v>
      </c>
      <c r="C93" s="20" t="s">
        <v>137</v>
      </c>
      <c r="D93" s="21" t="s">
        <v>771</v>
      </c>
      <c r="E93" s="21" t="s">
        <v>772</v>
      </c>
      <c r="F93" s="21" t="s">
        <v>773</v>
      </c>
      <c r="G93" s="22">
        <v>2025</v>
      </c>
      <c r="H93" s="20" t="s">
        <v>67</v>
      </c>
      <c r="I93" s="23"/>
      <c r="J93" s="20" t="s">
        <v>80</v>
      </c>
      <c r="K93" s="24">
        <f t="shared" si="8"/>
        <v>12</v>
      </c>
      <c r="L93" s="24">
        <f t="shared" si="9"/>
        <v>25</v>
      </c>
      <c r="M93" s="24">
        <f>IFERROR(INDEX(Methodology!$B$27:$B$36,MATCH(J93,Methodology!$A$27:$A$36,0)),12)</f>
        <v>14</v>
      </c>
      <c r="N93" s="24">
        <f>IF(COUNTIF(Infrastructure!$A:$A,A93)&gt;=4,15,IF(COUNTIF(Infrastructure!$A:$A,A93)&gt;=2,10,IF(COUNTIF(Infrastructure!$A:$A,A93)&gt;=1,5,0)))</f>
        <v>15</v>
      </c>
      <c r="O93" s="25">
        <f t="shared" si="10"/>
        <v>66</v>
      </c>
      <c r="P93" s="25" t="str">
        <f t="shared" si="11"/>
        <v>Medium</v>
      </c>
      <c r="Q93" s="21" t="s">
        <v>774</v>
      </c>
      <c r="R93" s="20" t="s">
        <v>775</v>
      </c>
      <c r="S93" s="20" t="s">
        <v>368</v>
      </c>
    </row>
    <row r="94" spans="1:19" ht="30" customHeight="1" x14ac:dyDescent="0.3">
      <c r="A94" s="20" t="s">
        <v>44</v>
      </c>
      <c r="B94" s="20" t="s">
        <v>776</v>
      </c>
      <c r="C94" s="20" t="s">
        <v>137</v>
      </c>
      <c r="D94" s="21" t="s">
        <v>777</v>
      </c>
      <c r="E94" s="21" t="s">
        <v>778</v>
      </c>
      <c r="F94" s="21" t="s">
        <v>779</v>
      </c>
      <c r="G94" s="22">
        <v>2019</v>
      </c>
      <c r="H94" s="20" t="s">
        <v>780</v>
      </c>
      <c r="I94" s="23">
        <v>985</v>
      </c>
      <c r="J94" s="20" t="s">
        <v>80</v>
      </c>
      <c r="K94" s="24">
        <f t="shared" si="8"/>
        <v>40</v>
      </c>
      <c r="L94" s="24">
        <f t="shared" si="9"/>
        <v>5</v>
      </c>
      <c r="M94" s="24">
        <f>IFERROR(INDEX(Methodology!$B$27:$B$36,MATCH(J94,Methodology!$A$27:$A$36,0)),12)</f>
        <v>14</v>
      </c>
      <c r="N94" s="24">
        <f>IF(COUNTIF(Infrastructure!$A:$A,A94)&gt;=4,15,IF(COUNTIF(Infrastructure!$A:$A,A94)&gt;=2,10,IF(COUNTIF(Infrastructure!$A:$A,A94)&gt;=1,5,0)))</f>
        <v>15</v>
      </c>
      <c r="O94" s="25">
        <f t="shared" si="10"/>
        <v>74</v>
      </c>
      <c r="P94" s="25" t="str">
        <f t="shared" si="11"/>
        <v>High</v>
      </c>
      <c r="Q94" s="21" t="s">
        <v>781</v>
      </c>
      <c r="R94" s="20" t="s">
        <v>782</v>
      </c>
      <c r="S94" s="20" t="s">
        <v>783</v>
      </c>
    </row>
    <row r="95" spans="1:19" ht="30" customHeight="1" x14ac:dyDescent="0.3">
      <c r="A95" s="20" t="s">
        <v>44</v>
      </c>
      <c r="B95" s="20" t="s">
        <v>784</v>
      </c>
      <c r="C95" s="20" t="s">
        <v>201</v>
      </c>
      <c r="D95" s="21" t="s">
        <v>785</v>
      </c>
      <c r="E95" s="21" t="s">
        <v>786</v>
      </c>
      <c r="F95" s="21" t="s">
        <v>787</v>
      </c>
      <c r="G95" s="22">
        <v>2026</v>
      </c>
      <c r="H95" s="20" t="s">
        <v>67</v>
      </c>
      <c r="I95" s="23"/>
      <c r="J95" s="20" t="s">
        <v>84</v>
      </c>
      <c r="K95" s="24">
        <f t="shared" si="8"/>
        <v>12</v>
      </c>
      <c r="L95" s="24">
        <f t="shared" si="9"/>
        <v>25</v>
      </c>
      <c r="M95" s="24">
        <f>IFERROR(INDEX(Methodology!$B$27:$B$36,MATCH(J95,Methodology!$A$27:$A$36,0)),12)</f>
        <v>8</v>
      </c>
      <c r="N95" s="24">
        <f>IF(COUNTIF(Infrastructure!$A:$A,A95)&gt;=4,15,IF(COUNTIF(Infrastructure!$A:$A,A95)&gt;=2,10,IF(COUNTIF(Infrastructure!$A:$A,A95)&gt;=1,5,0)))</f>
        <v>15</v>
      </c>
      <c r="O95" s="25">
        <f t="shared" si="10"/>
        <v>60</v>
      </c>
      <c r="P95" s="25" t="str">
        <f t="shared" si="11"/>
        <v>Medium</v>
      </c>
      <c r="Q95" s="21" t="s">
        <v>788</v>
      </c>
      <c r="R95" s="20" t="s">
        <v>789</v>
      </c>
      <c r="S95" s="20" t="s">
        <v>790</v>
      </c>
    </row>
    <row r="96" spans="1:19" ht="30" customHeight="1" x14ac:dyDescent="0.3">
      <c r="A96" s="20" t="s">
        <v>44</v>
      </c>
      <c r="B96" s="20" t="s">
        <v>791</v>
      </c>
      <c r="C96" s="20" t="s">
        <v>201</v>
      </c>
      <c r="D96" s="21" t="s">
        <v>792</v>
      </c>
      <c r="E96" s="21" t="s">
        <v>793</v>
      </c>
      <c r="F96" s="21" t="s">
        <v>794</v>
      </c>
      <c r="G96" s="22">
        <v>2024</v>
      </c>
      <c r="H96" s="20" t="s">
        <v>67</v>
      </c>
      <c r="I96" s="23"/>
      <c r="J96" s="20" t="s">
        <v>84</v>
      </c>
      <c r="K96" s="24">
        <f t="shared" si="8"/>
        <v>12</v>
      </c>
      <c r="L96" s="24">
        <f t="shared" si="9"/>
        <v>25</v>
      </c>
      <c r="M96" s="24">
        <f>IFERROR(INDEX(Methodology!$B$27:$B$36,MATCH(J96,Methodology!$A$27:$A$36,0)),12)</f>
        <v>8</v>
      </c>
      <c r="N96" s="24">
        <f>IF(COUNTIF(Infrastructure!$A:$A,A96)&gt;=4,15,IF(COUNTIF(Infrastructure!$A:$A,A96)&gt;=2,10,IF(COUNTIF(Infrastructure!$A:$A,A96)&gt;=1,5,0)))</f>
        <v>15</v>
      </c>
      <c r="O96" s="25">
        <f t="shared" si="10"/>
        <v>60</v>
      </c>
      <c r="P96" s="25" t="str">
        <f t="shared" si="11"/>
        <v>Medium</v>
      </c>
      <c r="Q96" s="21" t="s">
        <v>795</v>
      </c>
      <c r="R96" s="20" t="s">
        <v>796</v>
      </c>
      <c r="S96" s="20" t="s">
        <v>669</v>
      </c>
    </row>
    <row r="97" spans="1:19" ht="30" customHeight="1" x14ac:dyDescent="0.3">
      <c r="A97" s="20" t="s">
        <v>44</v>
      </c>
      <c r="B97" s="20" t="s">
        <v>797</v>
      </c>
      <c r="C97" s="20" t="s">
        <v>266</v>
      </c>
      <c r="D97" s="21" t="s">
        <v>798</v>
      </c>
      <c r="E97" s="21" t="s">
        <v>799</v>
      </c>
      <c r="F97" s="21" t="s">
        <v>800</v>
      </c>
      <c r="G97" s="22">
        <v>2026</v>
      </c>
      <c r="H97" s="20" t="s">
        <v>67</v>
      </c>
      <c r="I97" s="23"/>
      <c r="J97" s="20" t="s">
        <v>78</v>
      </c>
      <c r="K97" s="24">
        <f t="shared" si="8"/>
        <v>12</v>
      </c>
      <c r="L97" s="24">
        <f t="shared" si="9"/>
        <v>25</v>
      </c>
      <c r="M97" s="24">
        <f>IFERROR(INDEX(Methodology!$B$27:$B$36,MATCH(J97,Methodology!$A$27:$A$36,0)),12)</f>
        <v>18</v>
      </c>
      <c r="N97" s="24">
        <f>IF(COUNTIF(Infrastructure!$A:$A,A97)&gt;=4,15,IF(COUNTIF(Infrastructure!$A:$A,A97)&gt;=2,10,IF(COUNTIF(Infrastructure!$A:$A,A97)&gt;=1,5,0)))</f>
        <v>15</v>
      </c>
      <c r="O97" s="25">
        <f t="shared" si="10"/>
        <v>70</v>
      </c>
      <c r="P97" s="25" t="str">
        <f t="shared" si="11"/>
        <v>High</v>
      </c>
      <c r="Q97" s="21" t="s">
        <v>801</v>
      </c>
      <c r="R97" s="20" t="s">
        <v>802</v>
      </c>
      <c r="S97" s="20" t="s">
        <v>803</v>
      </c>
    </row>
    <row r="98" spans="1:19" ht="30" customHeight="1" x14ac:dyDescent="0.3">
      <c r="A98" s="20" t="s">
        <v>44</v>
      </c>
      <c r="B98" s="20" t="s">
        <v>804</v>
      </c>
      <c r="C98" s="20" t="s">
        <v>128</v>
      </c>
      <c r="D98" s="21" t="s">
        <v>805</v>
      </c>
      <c r="E98" s="21" t="s">
        <v>806</v>
      </c>
      <c r="F98" s="21" t="s">
        <v>807</v>
      </c>
      <c r="G98" s="22">
        <v>2023</v>
      </c>
      <c r="H98" s="20" t="s">
        <v>808</v>
      </c>
      <c r="I98" s="23">
        <v>25.4</v>
      </c>
      <c r="J98" s="20" t="s">
        <v>82</v>
      </c>
      <c r="K98" s="24">
        <f t="shared" si="8"/>
        <v>32</v>
      </c>
      <c r="L98" s="24">
        <f t="shared" si="9"/>
        <v>25</v>
      </c>
      <c r="M98" s="24">
        <f>IFERROR(INDEX(Methodology!$B$27:$B$36,MATCH(J98,Methodology!$A$27:$A$36,0)),12)</f>
        <v>12</v>
      </c>
      <c r="N98" s="24">
        <f>IF(COUNTIF(Infrastructure!$A:$A,A98)&gt;=4,15,IF(COUNTIF(Infrastructure!$A:$A,A98)&gt;=2,10,IF(COUNTIF(Infrastructure!$A:$A,A98)&gt;=1,5,0)))</f>
        <v>15</v>
      </c>
      <c r="O98" s="25">
        <f t="shared" si="10"/>
        <v>84</v>
      </c>
      <c r="P98" s="25" t="str">
        <f t="shared" si="11"/>
        <v>High</v>
      </c>
      <c r="Q98" s="21" t="s">
        <v>809</v>
      </c>
      <c r="R98" s="20" t="s">
        <v>810</v>
      </c>
      <c r="S98" s="20" t="s">
        <v>573</v>
      </c>
    </row>
    <row r="99" spans="1:19" ht="30" customHeight="1" x14ac:dyDescent="0.3">
      <c r="A99" s="20" t="s">
        <v>44</v>
      </c>
      <c r="B99" s="20" t="s">
        <v>811</v>
      </c>
      <c r="C99" s="20" t="s">
        <v>128</v>
      </c>
      <c r="D99" s="21" t="s">
        <v>812</v>
      </c>
      <c r="E99" s="21" t="s">
        <v>813</v>
      </c>
      <c r="F99" s="21" t="s">
        <v>814</v>
      </c>
      <c r="G99" s="22">
        <v>2026</v>
      </c>
      <c r="H99" s="20" t="s">
        <v>815</v>
      </c>
      <c r="I99" s="23">
        <v>380</v>
      </c>
      <c r="J99" s="20" t="s">
        <v>77</v>
      </c>
      <c r="K99" s="24">
        <f t="shared" ref="K99:K111" si="12">IF(I99="",12,IF(I99&gt;=100,40,IF(I99&gt;=20,32,IF(I99&gt;=5,24,IF(I99&gt;=1,16,8)))))</f>
        <v>40</v>
      </c>
      <c r="L99" s="24">
        <f t="shared" ref="L99:L111" si="13">IF(G99="",5,IF(G99&gt;=2023,25,IF(G99&gt;=2022,20,IF(G99&gt;=2021,14,IF(G99&gt;=2020,8,5)))))</f>
        <v>25</v>
      </c>
      <c r="M99" s="24">
        <f>IFERROR(INDEX(Methodology!$B$27:$B$36,MATCH(J99,Methodology!$A$27:$A$36,0)),12)</f>
        <v>20</v>
      </c>
      <c r="N99" s="24">
        <f>IF(COUNTIF(Infrastructure!$A:$A,A99)&gt;=4,15,IF(COUNTIF(Infrastructure!$A:$A,A99)&gt;=2,10,IF(COUNTIF(Infrastructure!$A:$A,A99)&gt;=1,5,0)))</f>
        <v>15</v>
      </c>
      <c r="O99" s="25">
        <f t="shared" ref="O99:O130" si="14">K99+L99+M99+N99</f>
        <v>100</v>
      </c>
      <c r="P99" s="25" t="str">
        <f t="shared" ref="P99:P130" si="15">IF(O99&gt;=70,"High",IF(O99&gt;=50,"Medium","Watch"))</f>
        <v>High</v>
      </c>
      <c r="Q99" s="21" t="s">
        <v>816</v>
      </c>
      <c r="R99" s="20" t="s">
        <v>817</v>
      </c>
      <c r="S99" s="20" t="s">
        <v>818</v>
      </c>
    </row>
    <row r="100" spans="1:19" ht="30" customHeight="1" x14ac:dyDescent="0.3">
      <c r="A100" s="20" t="s">
        <v>44</v>
      </c>
      <c r="B100" s="20" t="s">
        <v>819</v>
      </c>
      <c r="C100" s="20" t="s">
        <v>214</v>
      </c>
      <c r="D100" s="21" t="s">
        <v>301</v>
      </c>
      <c r="E100" s="21" t="s">
        <v>820</v>
      </c>
      <c r="F100" s="21" t="s">
        <v>821</v>
      </c>
      <c r="G100" s="22">
        <v>2024</v>
      </c>
      <c r="H100" s="20" t="s">
        <v>822</v>
      </c>
      <c r="I100" s="23">
        <v>200</v>
      </c>
      <c r="J100" s="20" t="s">
        <v>79</v>
      </c>
      <c r="K100" s="24">
        <f t="shared" si="12"/>
        <v>40</v>
      </c>
      <c r="L100" s="24">
        <f t="shared" si="13"/>
        <v>25</v>
      </c>
      <c r="M100" s="24">
        <f>IFERROR(INDEX(Methodology!$B$27:$B$36,MATCH(J100,Methodology!$A$27:$A$36,0)),12)</f>
        <v>16</v>
      </c>
      <c r="N100" s="24">
        <f>IF(COUNTIF(Infrastructure!$A:$A,A100)&gt;=4,15,IF(COUNTIF(Infrastructure!$A:$A,A100)&gt;=2,10,IF(COUNTIF(Infrastructure!$A:$A,A100)&gt;=1,5,0)))</f>
        <v>15</v>
      </c>
      <c r="O100" s="25">
        <f t="shared" si="14"/>
        <v>96</v>
      </c>
      <c r="P100" s="25" t="str">
        <f t="shared" si="15"/>
        <v>High</v>
      </c>
      <c r="Q100" s="21" t="s">
        <v>823</v>
      </c>
      <c r="R100" s="20" t="s">
        <v>824</v>
      </c>
      <c r="S100" s="20" t="s">
        <v>825</v>
      </c>
    </row>
    <row r="101" spans="1:19" ht="30" customHeight="1" x14ac:dyDescent="0.3">
      <c r="A101" s="20" t="s">
        <v>44</v>
      </c>
      <c r="B101" s="20" t="s">
        <v>826</v>
      </c>
      <c r="C101" s="20" t="s">
        <v>214</v>
      </c>
      <c r="D101" s="21" t="s">
        <v>741</v>
      </c>
      <c r="E101" s="21" t="s">
        <v>827</v>
      </c>
      <c r="F101" s="21" t="s">
        <v>828</v>
      </c>
      <c r="G101" s="22">
        <v>2024</v>
      </c>
      <c r="H101" s="20" t="s">
        <v>829</v>
      </c>
      <c r="I101" s="23">
        <v>3000</v>
      </c>
      <c r="J101" s="20" t="s">
        <v>79</v>
      </c>
      <c r="K101" s="24">
        <f t="shared" si="12"/>
        <v>40</v>
      </c>
      <c r="L101" s="24">
        <f t="shared" si="13"/>
        <v>25</v>
      </c>
      <c r="M101" s="24">
        <f>IFERROR(INDEX(Methodology!$B$27:$B$36,MATCH(J101,Methodology!$A$27:$A$36,0)),12)</f>
        <v>16</v>
      </c>
      <c r="N101" s="24">
        <f>IF(COUNTIF(Infrastructure!$A:$A,A101)&gt;=4,15,IF(COUNTIF(Infrastructure!$A:$A,A101)&gt;=2,10,IF(COUNTIF(Infrastructure!$A:$A,A101)&gt;=1,5,0)))</f>
        <v>15</v>
      </c>
      <c r="O101" s="25">
        <f t="shared" si="14"/>
        <v>96</v>
      </c>
      <c r="P101" s="25" t="str">
        <f t="shared" si="15"/>
        <v>High</v>
      </c>
      <c r="Q101" s="21" t="s">
        <v>830</v>
      </c>
      <c r="R101" s="20" t="s">
        <v>831</v>
      </c>
      <c r="S101" s="20" t="s">
        <v>832</v>
      </c>
    </row>
    <row r="102" spans="1:19" ht="30" customHeight="1" x14ac:dyDescent="0.3">
      <c r="A102" s="20" t="s">
        <v>46</v>
      </c>
      <c r="B102" s="20" t="s">
        <v>833</v>
      </c>
      <c r="C102" s="20" t="s">
        <v>119</v>
      </c>
      <c r="D102" s="21" t="s">
        <v>834</v>
      </c>
      <c r="E102" s="21" t="s">
        <v>835</v>
      </c>
      <c r="F102" s="21" t="s">
        <v>836</v>
      </c>
      <c r="G102" s="22">
        <v>2025</v>
      </c>
      <c r="H102" s="20" t="s">
        <v>837</v>
      </c>
      <c r="I102" s="23">
        <v>1250</v>
      </c>
      <c r="J102" s="20" t="s">
        <v>76</v>
      </c>
      <c r="K102" s="24">
        <f t="shared" si="12"/>
        <v>40</v>
      </c>
      <c r="L102" s="24">
        <f t="shared" si="13"/>
        <v>25</v>
      </c>
      <c r="M102" s="24">
        <f>IFERROR(INDEX(Methodology!$B$27:$B$36,MATCH(J102,Methodology!$A$27:$A$36,0)),12)</f>
        <v>20</v>
      </c>
      <c r="N102" s="24">
        <f>IF(COUNTIF(Infrastructure!$A:$A,A102)&gt;=4,15,IF(COUNTIF(Infrastructure!$A:$A,A102)&gt;=2,10,IF(COUNTIF(Infrastructure!$A:$A,A102)&gt;=1,5,0)))</f>
        <v>10</v>
      </c>
      <c r="O102" s="25">
        <f t="shared" si="14"/>
        <v>95</v>
      </c>
      <c r="P102" s="25" t="str">
        <f t="shared" si="15"/>
        <v>High</v>
      </c>
      <c r="Q102" s="21" t="s">
        <v>838</v>
      </c>
      <c r="R102" s="20" t="s">
        <v>839</v>
      </c>
      <c r="S102" s="20" t="s">
        <v>355</v>
      </c>
    </row>
    <row r="103" spans="1:19" ht="30" customHeight="1" x14ac:dyDescent="0.3">
      <c r="A103" s="20" t="s">
        <v>46</v>
      </c>
      <c r="B103" s="20" t="s">
        <v>840</v>
      </c>
      <c r="C103" s="20" t="s">
        <v>137</v>
      </c>
      <c r="D103" s="21" t="s">
        <v>841</v>
      </c>
      <c r="E103" s="21" t="s">
        <v>842</v>
      </c>
      <c r="F103" s="21" t="s">
        <v>843</v>
      </c>
      <c r="G103" s="22">
        <v>2024</v>
      </c>
      <c r="H103" s="20" t="s">
        <v>67</v>
      </c>
      <c r="I103" s="23"/>
      <c r="J103" s="20" t="s">
        <v>80</v>
      </c>
      <c r="K103" s="24">
        <f t="shared" si="12"/>
        <v>12</v>
      </c>
      <c r="L103" s="24">
        <f t="shared" si="13"/>
        <v>25</v>
      </c>
      <c r="M103" s="24">
        <f>IFERROR(INDEX(Methodology!$B$27:$B$36,MATCH(J103,Methodology!$A$27:$A$36,0)),12)</f>
        <v>14</v>
      </c>
      <c r="N103" s="24">
        <f>IF(COUNTIF(Infrastructure!$A:$A,A103)&gt;=4,15,IF(COUNTIF(Infrastructure!$A:$A,A103)&gt;=2,10,IF(COUNTIF(Infrastructure!$A:$A,A103)&gt;=1,5,0)))</f>
        <v>10</v>
      </c>
      <c r="O103" s="25">
        <f t="shared" si="14"/>
        <v>61</v>
      </c>
      <c r="P103" s="25" t="str">
        <f t="shared" si="15"/>
        <v>Medium</v>
      </c>
      <c r="Q103" s="21" t="s">
        <v>844</v>
      </c>
      <c r="R103" s="20" t="s">
        <v>845</v>
      </c>
      <c r="S103" s="20" t="s">
        <v>846</v>
      </c>
    </row>
    <row r="104" spans="1:19" ht="30" customHeight="1" x14ac:dyDescent="0.3">
      <c r="A104" s="20" t="s">
        <v>46</v>
      </c>
      <c r="B104" s="20" t="s">
        <v>847</v>
      </c>
      <c r="C104" s="20" t="s">
        <v>201</v>
      </c>
      <c r="D104" s="21" t="s">
        <v>848</v>
      </c>
      <c r="E104" s="21" t="s">
        <v>849</v>
      </c>
      <c r="F104" s="21" t="s">
        <v>850</v>
      </c>
      <c r="G104" s="22">
        <v>2023</v>
      </c>
      <c r="H104" s="20" t="s">
        <v>851</v>
      </c>
      <c r="I104" s="23">
        <v>65</v>
      </c>
      <c r="J104" s="20" t="s">
        <v>84</v>
      </c>
      <c r="K104" s="24">
        <f t="shared" si="12"/>
        <v>32</v>
      </c>
      <c r="L104" s="24">
        <f t="shared" si="13"/>
        <v>25</v>
      </c>
      <c r="M104" s="24">
        <f>IFERROR(INDEX(Methodology!$B$27:$B$36,MATCH(J104,Methodology!$A$27:$A$36,0)),12)</f>
        <v>8</v>
      </c>
      <c r="N104" s="24">
        <f>IF(COUNTIF(Infrastructure!$A:$A,A104)&gt;=4,15,IF(COUNTIF(Infrastructure!$A:$A,A104)&gt;=2,10,IF(COUNTIF(Infrastructure!$A:$A,A104)&gt;=1,5,0)))</f>
        <v>10</v>
      </c>
      <c r="O104" s="25">
        <f t="shared" si="14"/>
        <v>75</v>
      </c>
      <c r="P104" s="25" t="str">
        <f t="shared" si="15"/>
        <v>High</v>
      </c>
      <c r="Q104" s="21" t="s">
        <v>852</v>
      </c>
      <c r="R104" s="20" t="s">
        <v>853</v>
      </c>
      <c r="S104" s="20" t="s">
        <v>854</v>
      </c>
    </row>
    <row r="105" spans="1:19" ht="30" customHeight="1" x14ac:dyDescent="0.3">
      <c r="A105" s="20" t="s">
        <v>46</v>
      </c>
      <c r="B105" s="20" t="s">
        <v>855</v>
      </c>
      <c r="C105" s="20" t="s">
        <v>266</v>
      </c>
      <c r="D105" s="21" t="s">
        <v>856</v>
      </c>
      <c r="E105" s="21" t="s">
        <v>857</v>
      </c>
      <c r="F105" s="21" t="s">
        <v>858</v>
      </c>
      <c r="G105" s="22">
        <v>2025</v>
      </c>
      <c r="H105" s="20" t="s">
        <v>180</v>
      </c>
      <c r="I105" s="23">
        <v>50</v>
      </c>
      <c r="J105" s="20" t="s">
        <v>78</v>
      </c>
      <c r="K105" s="24">
        <f t="shared" si="12"/>
        <v>32</v>
      </c>
      <c r="L105" s="24">
        <f t="shared" si="13"/>
        <v>25</v>
      </c>
      <c r="M105" s="24">
        <f>IFERROR(INDEX(Methodology!$B$27:$B$36,MATCH(J105,Methodology!$A$27:$A$36,0)),12)</f>
        <v>18</v>
      </c>
      <c r="N105" s="24">
        <f>IF(COUNTIF(Infrastructure!$A:$A,A105)&gt;=4,15,IF(COUNTIF(Infrastructure!$A:$A,A105)&gt;=2,10,IF(COUNTIF(Infrastructure!$A:$A,A105)&gt;=1,5,0)))</f>
        <v>10</v>
      </c>
      <c r="O105" s="25">
        <f t="shared" si="14"/>
        <v>85</v>
      </c>
      <c r="P105" s="25" t="str">
        <f t="shared" si="15"/>
        <v>High</v>
      </c>
      <c r="Q105" s="21" t="s">
        <v>859</v>
      </c>
      <c r="R105" s="20" t="s">
        <v>860</v>
      </c>
      <c r="S105" s="20" t="s">
        <v>588</v>
      </c>
    </row>
    <row r="106" spans="1:19" ht="30" customHeight="1" x14ac:dyDescent="0.3">
      <c r="A106" s="20" t="s">
        <v>46</v>
      </c>
      <c r="B106" s="20" t="s">
        <v>861</v>
      </c>
      <c r="C106" s="20" t="s">
        <v>214</v>
      </c>
      <c r="D106" s="21" t="s">
        <v>223</v>
      </c>
      <c r="E106" s="21" t="s">
        <v>862</v>
      </c>
      <c r="F106" s="21" t="s">
        <v>863</v>
      </c>
      <c r="G106" s="22">
        <v>2024</v>
      </c>
      <c r="H106" s="20" t="s">
        <v>864</v>
      </c>
      <c r="I106" s="23">
        <v>900</v>
      </c>
      <c r="J106" s="20" t="s">
        <v>76</v>
      </c>
      <c r="K106" s="24">
        <f t="shared" si="12"/>
        <v>40</v>
      </c>
      <c r="L106" s="24">
        <f t="shared" si="13"/>
        <v>25</v>
      </c>
      <c r="M106" s="24">
        <f>IFERROR(INDEX(Methodology!$B$27:$B$36,MATCH(J106,Methodology!$A$27:$A$36,0)),12)</f>
        <v>20</v>
      </c>
      <c r="N106" s="24">
        <f>IF(COUNTIF(Infrastructure!$A:$A,A106)&gt;=4,15,IF(COUNTIF(Infrastructure!$A:$A,A106)&gt;=2,10,IF(COUNTIF(Infrastructure!$A:$A,A106)&gt;=1,5,0)))</f>
        <v>10</v>
      </c>
      <c r="O106" s="25">
        <f t="shared" si="14"/>
        <v>95</v>
      </c>
      <c r="P106" s="25" t="str">
        <f t="shared" si="15"/>
        <v>High</v>
      </c>
      <c r="Q106" s="21" t="s">
        <v>865</v>
      </c>
      <c r="R106" s="20" t="s">
        <v>866</v>
      </c>
      <c r="S106" s="20" t="s">
        <v>867</v>
      </c>
    </row>
    <row r="107" spans="1:19" ht="30" customHeight="1" x14ac:dyDescent="0.3">
      <c r="A107" s="20" t="s">
        <v>48</v>
      </c>
      <c r="B107" s="20" t="s">
        <v>868</v>
      </c>
      <c r="C107" s="20" t="s">
        <v>119</v>
      </c>
      <c r="D107" s="21" t="s">
        <v>869</v>
      </c>
      <c r="E107" s="21" t="s">
        <v>870</v>
      </c>
      <c r="F107" s="21" t="s">
        <v>871</v>
      </c>
      <c r="G107" s="22">
        <v>2025</v>
      </c>
      <c r="H107" s="20" t="s">
        <v>872</v>
      </c>
      <c r="I107" s="23">
        <v>1500</v>
      </c>
      <c r="J107" s="20" t="s">
        <v>76</v>
      </c>
      <c r="K107" s="24">
        <f t="shared" si="12"/>
        <v>40</v>
      </c>
      <c r="L107" s="24">
        <f t="shared" si="13"/>
        <v>25</v>
      </c>
      <c r="M107" s="24">
        <f>IFERROR(INDEX(Methodology!$B$27:$B$36,MATCH(J107,Methodology!$A$27:$A$36,0)),12)</f>
        <v>20</v>
      </c>
      <c r="N107" s="24">
        <f>IF(COUNTIF(Infrastructure!$A:$A,A107)&gt;=4,15,IF(COUNTIF(Infrastructure!$A:$A,A107)&gt;=2,10,IF(COUNTIF(Infrastructure!$A:$A,A107)&gt;=1,5,0)))</f>
        <v>10</v>
      </c>
      <c r="O107" s="25">
        <f t="shared" si="14"/>
        <v>95</v>
      </c>
      <c r="P107" s="25" t="str">
        <f t="shared" si="15"/>
        <v>High</v>
      </c>
      <c r="Q107" s="21" t="s">
        <v>873</v>
      </c>
      <c r="R107" s="20" t="s">
        <v>874</v>
      </c>
      <c r="S107" s="20" t="s">
        <v>875</v>
      </c>
    </row>
    <row r="108" spans="1:19" ht="30" customHeight="1" x14ac:dyDescent="0.3">
      <c r="A108" s="20" t="s">
        <v>48</v>
      </c>
      <c r="B108" s="20" t="s">
        <v>876</v>
      </c>
      <c r="C108" s="20" t="s">
        <v>119</v>
      </c>
      <c r="D108" s="21" t="s">
        <v>877</v>
      </c>
      <c r="E108" s="21" t="s">
        <v>878</v>
      </c>
      <c r="F108" s="21" t="s">
        <v>879</v>
      </c>
      <c r="G108" s="22">
        <v>2025</v>
      </c>
      <c r="H108" s="20" t="s">
        <v>67</v>
      </c>
      <c r="I108" s="23"/>
      <c r="J108" s="20" t="s">
        <v>76</v>
      </c>
      <c r="K108" s="24">
        <f t="shared" si="12"/>
        <v>12</v>
      </c>
      <c r="L108" s="24">
        <f t="shared" si="13"/>
        <v>25</v>
      </c>
      <c r="M108" s="24">
        <f>IFERROR(INDEX(Methodology!$B$27:$B$36,MATCH(J108,Methodology!$A$27:$A$36,0)),12)</f>
        <v>20</v>
      </c>
      <c r="N108" s="24">
        <f>IF(COUNTIF(Infrastructure!$A:$A,A108)&gt;=4,15,IF(COUNTIF(Infrastructure!$A:$A,A108)&gt;=2,10,IF(COUNTIF(Infrastructure!$A:$A,A108)&gt;=1,5,0)))</f>
        <v>10</v>
      </c>
      <c r="O108" s="25">
        <f t="shared" si="14"/>
        <v>67</v>
      </c>
      <c r="P108" s="25" t="str">
        <f t="shared" si="15"/>
        <v>Medium</v>
      </c>
      <c r="Q108" s="21" t="s">
        <v>880</v>
      </c>
      <c r="R108" s="20" t="s">
        <v>881</v>
      </c>
      <c r="S108" s="20" t="s">
        <v>882</v>
      </c>
    </row>
    <row r="109" spans="1:19" ht="30" customHeight="1" x14ac:dyDescent="0.3">
      <c r="A109" s="20" t="s">
        <v>48</v>
      </c>
      <c r="B109" s="20" t="s">
        <v>883</v>
      </c>
      <c r="C109" s="20" t="s">
        <v>201</v>
      </c>
      <c r="D109" s="21" t="s">
        <v>884</v>
      </c>
      <c r="E109" s="21" t="s">
        <v>885</v>
      </c>
      <c r="F109" s="21" t="s">
        <v>886</v>
      </c>
      <c r="G109" s="22">
        <v>2024</v>
      </c>
      <c r="H109" s="20" t="s">
        <v>67</v>
      </c>
      <c r="I109" s="23"/>
      <c r="J109" s="20" t="s">
        <v>84</v>
      </c>
      <c r="K109" s="24">
        <f t="shared" si="12"/>
        <v>12</v>
      </c>
      <c r="L109" s="24">
        <f t="shared" si="13"/>
        <v>25</v>
      </c>
      <c r="M109" s="24">
        <f>IFERROR(INDEX(Methodology!$B$27:$B$36,MATCH(J109,Methodology!$A$27:$A$36,0)),12)</f>
        <v>8</v>
      </c>
      <c r="N109" s="24">
        <f>IF(COUNTIF(Infrastructure!$A:$A,A109)&gt;=4,15,IF(COUNTIF(Infrastructure!$A:$A,A109)&gt;=2,10,IF(COUNTIF(Infrastructure!$A:$A,A109)&gt;=1,5,0)))</f>
        <v>10</v>
      </c>
      <c r="O109" s="25">
        <f t="shared" si="14"/>
        <v>55</v>
      </c>
      <c r="P109" s="25" t="str">
        <f t="shared" si="15"/>
        <v>Medium</v>
      </c>
      <c r="Q109" s="21" t="s">
        <v>887</v>
      </c>
      <c r="R109" s="20" t="s">
        <v>888</v>
      </c>
      <c r="S109" s="20" t="s">
        <v>411</v>
      </c>
    </row>
    <row r="110" spans="1:19" ht="30" customHeight="1" x14ac:dyDescent="0.3">
      <c r="A110" s="20" t="s">
        <v>48</v>
      </c>
      <c r="B110" s="20" t="s">
        <v>889</v>
      </c>
      <c r="C110" s="20" t="s">
        <v>128</v>
      </c>
      <c r="D110" s="21" t="s">
        <v>884</v>
      </c>
      <c r="E110" s="21" t="s">
        <v>890</v>
      </c>
      <c r="F110" s="21" t="s">
        <v>891</v>
      </c>
      <c r="G110" s="22">
        <v>2025</v>
      </c>
      <c r="H110" s="20" t="s">
        <v>892</v>
      </c>
      <c r="I110" s="23">
        <v>15</v>
      </c>
      <c r="J110" s="20" t="s">
        <v>77</v>
      </c>
      <c r="K110" s="24">
        <f t="shared" si="12"/>
        <v>24</v>
      </c>
      <c r="L110" s="24">
        <f t="shared" si="13"/>
        <v>25</v>
      </c>
      <c r="M110" s="24">
        <f>IFERROR(INDEX(Methodology!$B$27:$B$36,MATCH(J110,Methodology!$A$27:$A$36,0)),12)</f>
        <v>20</v>
      </c>
      <c r="N110" s="24">
        <f>IF(COUNTIF(Infrastructure!$A:$A,A110)&gt;=4,15,IF(COUNTIF(Infrastructure!$A:$A,A110)&gt;=2,10,IF(COUNTIF(Infrastructure!$A:$A,A110)&gt;=1,5,0)))</f>
        <v>10</v>
      </c>
      <c r="O110" s="25">
        <f t="shared" si="14"/>
        <v>79</v>
      </c>
      <c r="P110" s="25" t="str">
        <f t="shared" si="15"/>
        <v>High</v>
      </c>
      <c r="Q110" s="21" t="s">
        <v>893</v>
      </c>
      <c r="R110" s="20" t="s">
        <v>894</v>
      </c>
      <c r="S110" s="20" t="s">
        <v>895</v>
      </c>
    </row>
    <row r="111" spans="1:19" ht="30" customHeight="1" x14ac:dyDescent="0.3">
      <c r="A111" s="20" t="s">
        <v>48</v>
      </c>
      <c r="B111" s="20" t="s">
        <v>896</v>
      </c>
      <c r="C111" s="20" t="s">
        <v>214</v>
      </c>
      <c r="D111" s="21" t="s">
        <v>884</v>
      </c>
      <c r="E111" s="21" t="s">
        <v>897</v>
      </c>
      <c r="F111" s="21" t="s">
        <v>898</v>
      </c>
      <c r="G111" s="22">
        <v>2024</v>
      </c>
      <c r="H111" s="20" t="s">
        <v>899</v>
      </c>
      <c r="I111" s="23">
        <v>100</v>
      </c>
      <c r="J111" s="20" t="s">
        <v>79</v>
      </c>
      <c r="K111" s="24">
        <f t="shared" si="12"/>
        <v>40</v>
      </c>
      <c r="L111" s="24">
        <f t="shared" si="13"/>
        <v>25</v>
      </c>
      <c r="M111" s="24">
        <f>IFERROR(INDEX(Methodology!$B$27:$B$36,MATCH(J111,Methodology!$A$27:$A$36,0)),12)</f>
        <v>16</v>
      </c>
      <c r="N111" s="24">
        <f>IF(COUNTIF(Infrastructure!$A:$A,A111)&gt;=4,15,IF(COUNTIF(Infrastructure!$A:$A,A111)&gt;=2,10,IF(COUNTIF(Infrastructure!$A:$A,A111)&gt;=1,5,0)))</f>
        <v>10</v>
      </c>
      <c r="O111" s="25">
        <f t="shared" si="14"/>
        <v>91</v>
      </c>
      <c r="P111" s="25" t="str">
        <f t="shared" si="15"/>
        <v>High</v>
      </c>
      <c r="Q111" s="21" t="s">
        <v>900</v>
      </c>
      <c r="R111" s="20" t="s">
        <v>901</v>
      </c>
      <c r="S111" s="20" t="s">
        <v>902</v>
      </c>
    </row>
  </sheetData>
  <autoFilter ref="A2:S111" xr:uid="{00000000-0009-0000-0000-000002000000}"/>
  <mergeCells count="4">
    <mergeCell ref="A1:E1"/>
    <mergeCell ref="F1:J1"/>
    <mergeCell ref="K1:P1"/>
    <mergeCell ref="Q1:S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8"/>
  <sheetViews>
    <sheetView showGridLines="0" zoomScaleNormal="100" workbookViewId="0">
      <pane ySplit="2" topLeftCell="A3" activePane="bottomLeft" state="frozen"/>
      <selection pane="bottomLeft"/>
    </sheetView>
  </sheetViews>
  <sheetFormatPr defaultColWidth="8.6640625" defaultRowHeight="14.4" x14ac:dyDescent="0.3"/>
  <cols>
    <col min="1" max="1" width="10" customWidth="1"/>
    <col min="2" max="2" width="34" customWidth="1"/>
    <col min="3" max="3" width="16" customWidth="1"/>
    <col min="4" max="4" width="24" customWidth="1"/>
    <col min="5" max="5" width="34" customWidth="1"/>
    <col min="6" max="6" width="18" customWidth="1"/>
    <col min="7" max="7" width="46" customWidth="1"/>
    <col min="8" max="8" width="30" customWidth="1"/>
    <col min="9" max="9" width="32" customWidth="1"/>
    <col min="10" max="10" width="14" customWidth="1"/>
  </cols>
  <sheetData>
    <row r="1" spans="1:10" ht="19.5" customHeight="1" x14ac:dyDescent="0.3">
      <c r="A1" s="4" t="s">
        <v>903</v>
      </c>
      <c r="B1" s="4"/>
      <c r="C1" s="4"/>
      <c r="D1" s="4"/>
      <c r="E1" s="4"/>
      <c r="F1" s="3" t="s">
        <v>904</v>
      </c>
      <c r="G1" s="3"/>
      <c r="H1" s="1" t="s">
        <v>101</v>
      </c>
      <c r="I1" s="1"/>
      <c r="J1" s="1"/>
    </row>
    <row r="2" spans="1:10" ht="30" customHeight="1" x14ac:dyDescent="0.3">
      <c r="A2" s="16" t="s">
        <v>14</v>
      </c>
      <c r="B2" s="16" t="s">
        <v>905</v>
      </c>
      <c r="C2" s="16" t="s">
        <v>906</v>
      </c>
      <c r="D2" s="16" t="s">
        <v>907</v>
      </c>
      <c r="E2" s="16" t="s">
        <v>908</v>
      </c>
      <c r="F2" s="17" t="s">
        <v>904</v>
      </c>
      <c r="G2" s="17" t="s">
        <v>909</v>
      </c>
      <c r="H2" s="19" t="s">
        <v>115</v>
      </c>
      <c r="I2" s="19" t="s">
        <v>116</v>
      </c>
      <c r="J2" s="19" t="s">
        <v>117</v>
      </c>
    </row>
    <row r="3" spans="1:10" ht="30" customHeight="1" x14ac:dyDescent="0.3">
      <c r="A3" s="20" t="s">
        <v>16</v>
      </c>
      <c r="B3" s="20" t="s">
        <v>910</v>
      </c>
      <c r="C3" s="20" t="s">
        <v>911</v>
      </c>
      <c r="D3" s="21" t="s">
        <v>912</v>
      </c>
      <c r="E3" s="21" t="s">
        <v>913</v>
      </c>
      <c r="F3" s="20" t="s">
        <v>914</v>
      </c>
      <c r="G3" s="21" t="s">
        <v>915</v>
      </c>
      <c r="H3" s="21" t="s">
        <v>916</v>
      </c>
      <c r="I3" s="20" t="s">
        <v>917</v>
      </c>
      <c r="J3" s="20" t="s">
        <v>918</v>
      </c>
    </row>
    <row r="4" spans="1:10" ht="30" customHeight="1" x14ac:dyDescent="0.3">
      <c r="A4" s="20" t="s">
        <v>18</v>
      </c>
      <c r="B4" s="20" t="s">
        <v>919</v>
      </c>
      <c r="C4" s="20" t="s">
        <v>911</v>
      </c>
      <c r="D4" s="21" t="s">
        <v>920</v>
      </c>
      <c r="E4" s="21" t="s">
        <v>921</v>
      </c>
      <c r="F4" s="20" t="s">
        <v>922</v>
      </c>
      <c r="G4" s="21" t="s">
        <v>923</v>
      </c>
      <c r="H4" s="21" t="s">
        <v>924</v>
      </c>
      <c r="I4" s="20" t="s">
        <v>925</v>
      </c>
      <c r="J4" s="20" t="s">
        <v>926</v>
      </c>
    </row>
    <row r="5" spans="1:10" ht="30" customHeight="1" x14ac:dyDescent="0.3">
      <c r="A5" s="20" t="s">
        <v>18</v>
      </c>
      <c r="B5" s="20" t="s">
        <v>927</v>
      </c>
      <c r="C5" s="20" t="s">
        <v>911</v>
      </c>
      <c r="D5" s="21" t="s">
        <v>928</v>
      </c>
      <c r="E5" s="21" t="s">
        <v>929</v>
      </c>
      <c r="F5" s="20" t="s">
        <v>930</v>
      </c>
      <c r="G5" s="21" t="s">
        <v>931</v>
      </c>
      <c r="H5" s="21" t="s">
        <v>932</v>
      </c>
      <c r="I5" s="20" t="s">
        <v>933</v>
      </c>
      <c r="J5" s="20" t="s">
        <v>934</v>
      </c>
    </row>
    <row r="6" spans="1:10" ht="30" customHeight="1" x14ac:dyDescent="0.3">
      <c r="A6" s="20" t="s">
        <v>20</v>
      </c>
      <c r="B6" s="20" t="s">
        <v>935</v>
      </c>
      <c r="C6" s="20" t="s">
        <v>936</v>
      </c>
      <c r="D6" s="21" t="s">
        <v>937</v>
      </c>
      <c r="E6" s="21" t="s">
        <v>938</v>
      </c>
      <c r="F6" s="20" t="s">
        <v>939</v>
      </c>
      <c r="G6" s="21" t="s">
        <v>940</v>
      </c>
      <c r="H6" s="21" t="s">
        <v>173</v>
      </c>
      <c r="I6" s="20" t="s">
        <v>174</v>
      </c>
      <c r="J6" s="20" t="s">
        <v>175</v>
      </c>
    </row>
    <row r="7" spans="1:10" ht="30" customHeight="1" x14ac:dyDescent="0.3">
      <c r="A7" s="20" t="s">
        <v>20</v>
      </c>
      <c r="B7" s="20" t="s">
        <v>941</v>
      </c>
      <c r="C7" s="20" t="s">
        <v>911</v>
      </c>
      <c r="D7" s="21" t="s">
        <v>942</v>
      </c>
      <c r="E7" s="21" t="s">
        <v>943</v>
      </c>
      <c r="F7" s="20" t="s">
        <v>944</v>
      </c>
      <c r="G7" s="21" t="s">
        <v>945</v>
      </c>
      <c r="H7" s="21" t="s">
        <v>946</v>
      </c>
      <c r="I7" s="20" t="s">
        <v>947</v>
      </c>
      <c r="J7" s="20" t="s">
        <v>948</v>
      </c>
    </row>
    <row r="8" spans="1:10" ht="30" customHeight="1" x14ac:dyDescent="0.3">
      <c r="A8" s="20" t="s">
        <v>20</v>
      </c>
      <c r="B8" s="20" t="s">
        <v>949</v>
      </c>
      <c r="C8" s="20" t="s">
        <v>77</v>
      </c>
      <c r="D8" s="21" t="s">
        <v>937</v>
      </c>
      <c r="E8" s="21" t="s">
        <v>950</v>
      </c>
      <c r="F8" s="20" t="s">
        <v>951</v>
      </c>
      <c r="G8" s="21" t="s">
        <v>952</v>
      </c>
      <c r="H8" s="21" t="s">
        <v>181</v>
      </c>
      <c r="I8" s="20" t="s">
        <v>182</v>
      </c>
      <c r="J8" s="20" t="s">
        <v>183</v>
      </c>
    </row>
    <row r="9" spans="1:10" ht="30" customHeight="1" x14ac:dyDescent="0.3">
      <c r="A9" s="20" t="s">
        <v>22</v>
      </c>
      <c r="B9" s="20" t="s">
        <v>953</v>
      </c>
      <c r="C9" s="20" t="s">
        <v>936</v>
      </c>
      <c r="D9" s="21" t="s">
        <v>954</v>
      </c>
      <c r="E9" s="21" t="s">
        <v>955</v>
      </c>
      <c r="F9" s="20" t="s">
        <v>956</v>
      </c>
      <c r="G9" s="21" t="s">
        <v>957</v>
      </c>
      <c r="H9" s="21" t="s">
        <v>958</v>
      </c>
      <c r="I9" s="20" t="s">
        <v>959</v>
      </c>
      <c r="J9" s="20" t="s">
        <v>960</v>
      </c>
    </row>
    <row r="10" spans="1:10" ht="30" customHeight="1" x14ac:dyDescent="0.3">
      <c r="A10" s="20" t="s">
        <v>22</v>
      </c>
      <c r="B10" s="20" t="s">
        <v>961</v>
      </c>
      <c r="C10" s="20" t="s">
        <v>962</v>
      </c>
      <c r="D10" s="21" t="s">
        <v>963</v>
      </c>
      <c r="E10" s="21" t="s">
        <v>964</v>
      </c>
      <c r="F10" s="20" t="s">
        <v>965</v>
      </c>
      <c r="G10" s="21" t="s">
        <v>966</v>
      </c>
      <c r="H10" s="21" t="s">
        <v>967</v>
      </c>
      <c r="I10" s="20" t="s">
        <v>968</v>
      </c>
      <c r="J10" s="20" t="s">
        <v>969</v>
      </c>
    </row>
    <row r="11" spans="1:10" ht="30" customHeight="1" x14ac:dyDescent="0.3">
      <c r="A11" s="20" t="s">
        <v>24</v>
      </c>
      <c r="B11" s="20" t="s">
        <v>970</v>
      </c>
      <c r="C11" s="20" t="s">
        <v>911</v>
      </c>
      <c r="D11" s="21" t="s">
        <v>971</v>
      </c>
      <c r="E11" s="21" t="s">
        <v>972</v>
      </c>
      <c r="F11" s="20" t="s">
        <v>973</v>
      </c>
      <c r="G11" s="21" t="s">
        <v>974</v>
      </c>
      <c r="H11" s="21" t="s">
        <v>975</v>
      </c>
      <c r="I11" s="20" t="s">
        <v>976</v>
      </c>
      <c r="J11" s="20" t="s">
        <v>977</v>
      </c>
    </row>
    <row r="12" spans="1:10" ht="30" customHeight="1" x14ac:dyDescent="0.3">
      <c r="A12" s="20" t="s">
        <v>26</v>
      </c>
      <c r="B12" s="20" t="s">
        <v>978</v>
      </c>
      <c r="C12" s="20" t="s">
        <v>936</v>
      </c>
      <c r="D12" s="21" t="s">
        <v>979</v>
      </c>
      <c r="E12" s="21" t="s">
        <v>980</v>
      </c>
      <c r="F12" s="20" t="s">
        <v>981</v>
      </c>
      <c r="G12" s="21" t="s">
        <v>982</v>
      </c>
      <c r="H12" s="21" t="s">
        <v>983</v>
      </c>
      <c r="I12" s="20" t="s">
        <v>984</v>
      </c>
      <c r="J12" s="20" t="s">
        <v>985</v>
      </c>
    </row>
    <row r="13" spans="1:10" ht="30" customHeight="1" x14ac:dyDescent="0.3">
      <c r="A13" s="20" t="s">
        <v>26</v>
      </c>
      <c r="B13" s="20" t="s">
        <v>986</v>
      </c>
      <c r="C13" s="20" t="s">
        <v>936</v>
      </c>
      <c r="D13" s="21" t="s">
        <v>987</v>
      </c>
      <c r="E13" s="21" t="s">
        <v>988</v>
      </c>
      <c r="F13" s="20" t="s">
        <v>989</v>
      </c>
      <c r="G13" s="21" t="s">
        <v>990</v>
      </c>
      <c r="H13" s="21" t="s">
        <v>304</v>
      </c>
      <c r="I13" s="20" t="s">
        <v>305</v>
      </c>
      <c r="J13" s="20" t="s">
        <v>306</v>
      </c>
    </row>
    <row r="14" spans="1:10" ht="30" customHeight="1" x14ac:dyDescent="0.3">
      <c r="A14" s="20" t="s">
        <v>26</v>
      </c>
      <c r="B14" s="20" t="s">
        <v>991</v>
      </c>
      <c r="C14" s="20" t="s">
        <v>962</v>
      </c>
      <c r="D14" s="21" t="s">
        <v>992</v>
      </c>
      <c r="E14" s="21" t="s">
        <v>993</v>
      </c>
      <c r="F14" s="20" t="s">
        <v>981</v>
      </c>
      <c r="G14" s="21" t="s">
        <v>994</v>
      </c>
      <c r="H14" s="21" t="s">
        <v>991</v>
      </c>
      <c r="I14" s="20" t="s">
        <v>995</v>
      </c>
      <c r="J14" s="20" t="s">
        <v>996</v>
      </c>
    </row>
    <row r="15" spans="1:10" ht="30" customHeight="1" x14ac:dyDescent="0.3">
      <c r="A15" s="20" t="s">
        <v>26</v>
      </c>
      <c r="B15" s="20" t="s">
        <v>997</v>
      </c>
      <c r="C15" s="20" t="s">
        <v>962</v>
      </c>
      <c r="D15" s="21" t="s">
        <v>998</v>
      </c>
      <c r="E15" s="21" t="s">
        <v>993</v>
      </c>
      <c r="F15" s="20" t="s">
        <v>981</v>
      </c>
      <c r="G15" s="21" t="s">
        <v>999</v>
      </c>
      <c r="H15" s="21" t="s">
        <v>1000</v>
      </c>
      <c r="I15" s="20" t="s">
        <v>1001</v>
      </c>
      <c r="J15" s="20" t="s">
        <v>1002</v>
      </c>
    </row>
    <row r="16" spans="1:10" ht="30" customHeight="1" x14ac:dyDescent="0.3">
      <c r="A16" s="20" t="s">
        <v>26</v>
      </c>
      <c r="B16" s="20" t="s">
        <v>1003</v>
      </c>
      <c r="C16" s="20" t="s">
        <v>911</v>
      </c>
      <c r="D16" s="21" t="s">
        <v>1004</v>
      </c>
      <c r="E16" s="21" t="s">
        <v>1005</v>
      </c>
      <c r="F16" s="20" t="s">
        <v>1006</v>
      </c>
      <c r="G16" s="21" t="s">
        <v>1007</v>
      </c>
      <c r="H16" s="21" t="s">
        <v>1008</v>
      </c>
      <c r="I16" s="20" t="s">
        <v>1009</v>
      </c>
      <c r="J16" s="20" t="s">
        <v>1010</v>
      </c>
    </row>
    <row r="17" spans="1:10" ht="30" customHeight="1" x14ac:dyDescent="0.3">
      <c r="A17" s="20" t="s">
        <v>26</v>
      </c>
      <c r="B17" s="20" t="s">
        <v>1011</v>
      </c>
      <c r="C17" s="20" t="s">
        <v>137</v>
      </c>
      <c r="D17" s="21" t="s">
        <v>1012</v>
      </c>
      <c r="E17" s="21" t="s">
        <v>1013</v>
      </c>
      <c r="F17" s="20" t="s">
        <v>981</v>
      </c>
      <c r="G17" s="21" t="s">
        <v>1014</v>
      </c>
      <c r="H17" s="21" t="s">
        <v>1011</v>
      </c>
      <c r="I17" s="20" t="s">
        <v>1015</v>
      </c>
      <c r="J17" s="20" t="s">
        <v>1016</v>
      </c>
    </row>
    <row r="18" spans="1:10" ht="30" customHeight="1" x14ac:dyDescent="0.3">
      <c r="A18" s="20" t="s">
        <v>26</v>
      </c>
      <c r="B18" s="20" t="s">
        <v>1017</v>
      </c>
      <c r="C18" s="20" t="s">
        <v>77</v>
      </c>
      <c r="D18" s="21" t="s">
        <v>1018</v>
      </c>
      <c r="E18" s="21" t="s">
        <v>286</v>
      </c>
      <c r="F18" s="20" t="s">
        <v>981</v>
      </c>
      <c r="G18" s="21" t="s">
        <v>1019</v>
      </c>
      <c r="H18" s="21" t="s">
        <v>290</v>
      </c>
      <c r="I18" s="20" t="s">
        <v>291</v>
      </c>
      <c r="J18" s="20" t="s">
        <v>292</v>
      </c>
    </row>
    <row r="19" spans="1:10" ht="30" customHeight="1" x14ac:dyDescent="0.3">
      <c r="A19" s="20" t="s">
        <v>28</v>
      </c>
      <c r="B19" s="20" t="s">
        <v>1020</v>
      </c>
      <c r="C19" s="20" t="s">
        <v>936</v>
      </c>
      <c r="D19" s="21" t="s">
        <v>1021</v>
      </c>
      <c r="E19" s="21" t="s">
        <v>1022</v>
      </c>
      <c r="F19" s="20" t="s">
        <v>989</v>
      </c>
      <c r="G19" s="21" t="s">
        <v>1023</v>
      </c>
      <c r="H19" s="21" t="s">
        <v>1024</v>
      </c>
      <c r="I19" s="20" t="s">
        <v>1025</v>
      </c>
      <c r="J19" s="20" t="s">
        <v>1026</v>
      </c>
    </row>
    <row r="20" spans="1:10" ht="30" customHeight="1" x14ac:dyDescent="0.3">
      <c r="A20" s="20" t="s">
        <v>28</v>
      </c>
      <c r="B20" s="20" t="s">
        <v>1027</v>
      </c>
      <c r="C20" s="20" t="s">
        <v>936</v>
      </c>
      <c r="D20" s="21" t="s">
        <v>1028</v>
      </c>
      <c r="E20" s="21" t="s">
        <v>1029</v>
      </c>
      <c r="F20" s="20" t="s">
        <v>1030</v>
      </c>
      <c r="G20" s="21" t="s">
        <v>1031</v>
      </c>
      <c r="H20" s="21" t="s">
        <v>347</v>
      </c>
      <c r="I20" s="20" t="s">
        <v>348</v>
      </c>
      <c r="J20" s="20" t="s">
        <v>349</v>
      </c>
    </row>
    <row r="21" spans="1:10" ht="30" customHeight="1" x14ac:dyDescent="0.3">
      <c r="A21" s="20" t="s">
        <v>28</v>
      </c>
      <c r="B21" s="20" t="s">
        <v>1032</v>
      </c>
      <c r="C21" s="20" t="s">
        <v>936</v>
      </c>
      <c r="D21" s="21" t="s">
        <v>1033</v>
      </c>
      <c r="E21" s="21" t="s">
        <v>1034</v>
      </c>
      <c r="F21" s="20" t="s">
        <v>989</v>
      </c>
      <c r="G21" s="21" t="s">
        <v>1035</v>
      </c>
      <c r="H21" s="21" t="s">
        <v>1024</v>
      </c>
      <c r="I21" s="20" t="s">
        <v>1025</v>
      </c>
      <c r="J21" s="20" t="s">
        <v>1026</v>
      </c>
    </row>
    <row r="22" spans="1:10" ht="30" customHeight="1" x14ac:dyDescent="0.3">
      <c r="A22" s="20" t="s">
        <v>28</v>
      </c>
      <c r="B22" s="20" t="s">
        <v>1036</v>
      </c>
      <c r="C22" s="20" t="s">
        <v>962</v>
      </c>
      <c r="D22" s="21" t="s">
        <v>1037</v>
      </c>
      <c r="E22" s="21" t="s">
        <v>1038</v>
      </c>
      <c r="F22" s="20" t="s">
        <v>981</v>
      </c>
      <c r="G22" s="21" t="s">
        <v>1039</v>
      </c>
      <c r="H22" s="21" t="s">
        <v>1040</v>
      </c>
      <c r="I22" s="20" t="s">
        <v>1041</v>
      </c>
      <c r="J22" s="20" t="s">
        <v>1042</v>
      </c>
    </row>
    <row r="23" spans="1:10" ht="30" customHeight="1" x14ac:dyDescent="0.3">
      <c r="A23" s="20" t="s">
        <v>28</v>
      </c>
      <c r="B23" s="20" t="s">
        <v>1043</v>
      </c>
      <c r="C23" s="20" t="s">
        <v>911</v>
      </c>
      <c r="D23" s="21" t="s">
        <v>1044</v>
      </c>
      <c r="E23" s="21" t="s">
        <v>1045</v>
      </c>
      <c r="F23" s="20" t="s">
        <v>1046</v>
      </c>
      <c r="G23" s="21" t="s">
        <v>1047</v>
      </c>
      <c r="H23" s="21" t="s">
        <v>1048</v>
      </c>
      <c r="I23" s="20" t="s">
        <v>1049</v>
      </c>
      <c r="J23" s="20" t="s">
        <v>1050</v>
      </c>
    </row>
    <row r="24" spans="1:10" ht="30" customHeight="1" x14ac:dyDescent="0.3">
      <c r="A24" s="20" t="s">
        <v>28</v>
      </c>
      <c r="B24" s="20" t="s">
        <v>1051</v>
      </c>
      <c r="C24" s="20" t="s">
        <v>137</v>
      </c>
      <c r="D24" s="21" t="s">
        <v>1033</v>
      </c>
      <c r="E24" s="21" t="s">
        <v>1052</v>
      </c>
      <c r="F24" s="20" t="s">
        <v>981</v>
      </c>
      <c r="G24" s="21" t="s">
        <v>1053</v>
      </c>
      <c r="H24" s="21" t="s">
        <v>1054</v>
      </c>
      <c r="I24" s="20" t="s">
        <v>1055</v>
      </c>
      <c r="J24" s="20" t="s">
        <v>1056</v>
      </c>
    </row>
    <row r="25" spans="1:10" ht="30" customHeight="1" x14ac:dyDescent="0.3">
      <c r="A25" s="20" t="s">
        <v>28</v>
      </c>
      <c r="B25" s="20" t="s">
        <v>1057</v>
      </c>
      <c r="C25" s="20" t="s">
        <v>77</v>
      </c>
      <c r="D25" s="21" t="s">
        <v>1058</v>
      </c>
      <c r="E25" s="21" t="s">
        <v>1059</v>
      </c>
      <c r="F25" s="20" t="s">
        <v>989</v>
      </c>
      <c r="G25" s="21" t="s">
        <v>1060</v>
      </c>
      <c r="H25" s="21" t="s">
        <v>389</v>
      </c>
      <c r="I25" s="20" t="s">
        <v>390</v>
      </c>
      <c r="J25" s="20" t="s">
        <v>391</v>
      </c>
    </row>
    <row r="26" spans="1:10" ht="30" customHeight="1" x14ac:dyDescent="0.3">
      <c r="A26" s="20" t="s">
        <v>28</v>
      </c>
      <c r="B26" s="20" t="s">
        <v>1061</v>
      </c>
      <c r="C26" s="20" t="s">
        <v>77</v>
      </c>
      <c r="D26" s="21" t="s">
        <v>294</v>
      </c>
      <c r="E26" s="21" t="s">
        <v>1062</v>
      </c>
      <c r="F26" s="20" t="s">
        <v>1030</v>
      </c>
      <c r="G26" s="21" t="s">
        <v>1063</v>
      </c>
      <c r="H26" s="21" t="s">
        <v>1064</v>
      </c>
      <c r="I26" s="20" t="s">
        <v>1065</v>
      </c>
      <c r="J26" s="20" t="s">
        <v>1066</v>
      </c>
    </row>
    <row r="27" spans="1:10" ht="30" customHeight="1" x14ac:dyDescent="0.3">
      <c r="A27" s="20" t="s">
        <v>28</v>
      </c>
      <c r="B27" s="20" t="s">
        <v>1067</v>
      </c>
      <c r="C27" s="20" t="s">
        <v>77</v>
      </c>
      <c r="D27" s="21" t="s">
        <v>1068</v>
      </c>
      <c r="E27" s="21" t="s">
        <v>1069</v>
      </c>
      <c r="F27" s="20" t="s">
        <v>1070</v>
      </c>
      <c r="G27" s="21" t="s">
        <v>1071</v>
      </c>
      <c r="H27" s="21" t="s">
        <v>1072</v>
      </c>
      <c r="I27" s="20" t="s">
        <v>1073</v>
      </c>
      <c r="J27" s="20" t="s">
        <v>1074</v>
      </c>
    </row>
    <row r="28" spans="1:10" ht="30" customHeight="1" x14ac:dyDescent="0.3">
      <c r="A28" s="20" t="s">
        <v>30</v>
      </c>
      <c r="B28" s="20" t="s">
        <v>1075</v>
      </c>
      <c r="C28" s="20" t="s">
        <v>911</v>
      </c>
      <c r="D28" s="21" t="s">
        <v>1076</v>
      </c>
      <c r="E28" s="21" t="s">
        <v>1077</v>
      </c>
      <c r="F28" s="20" t="s">
        <v>1078</v>
      </c>
      <c r="G28" s="21" t="s">
        <v>1079</v>
      </c>
      <c r="H28" s="21" t="s">
        <v>1080</v>
      </c>
      <c r="I28" s="20" t="s">
        <v>1081</v>
      </c>
      <c r="J28" s="20" t="s">
        <v>1082</v>
      </c>
    </row>
    <row r="29" spans="1:10" ht="30" customHeight="1" x14ac:dyDescent="0.3">
      <c r="A29" s="20" t="s">
        <v>30</v>
      </c>
      <c r="B29" s="20" t="s">
        <v>1083</v>
      </c>
      <c r="C29" s="20" t="s">
        <v>911</v>
      </c>
      <c r="D29" s="21" t="s">
        <v>1084</v>
      </c>
      <c r="E29" s="21" t="s">
        <v>1085</v>
      </c>
      <c r="F29" s="20" t="s">
        <v>1086</v>
      </c>
      <c r="G29" s="21" t="s">
        <v>1087</v>
      </c>
      <c r="H29" s="21" t="s">
        <v>1088</v>
      </c>
      <c r="I29" s="20" t="s">
        <v>1089</v>
      </c>
      <c r="J29" s="20" t="s">
        <v>1090</v>
      </c>
    </row>
    <row r="30" spans="1:10" ht="30" customHeight="1" x14ac:dyDescent="0.3">
      <c r="A30" s="20" t="s">
        <v>32</v>
      </c>
      <c r="B30" s="20" t="s">
        <v>1091</v>
      </c>
      <c r="C30" s="20" t="s">
        <v>962</v>
      </c>
      <c r="D30" s="21" t="s">
        <v>1092</v>
      </c>
      <c r="E30" s="21" t="s">
        <v>1093</v>
      </c>
      <c r="F30" s="20" t="s">
        <v>1094</v>
      </c>
      <c r="G30" s="21" t="s">
        <v>1095</v>
      </c>
      <c r="H30" s="21" t="s">
        <v>1096</v>
      </c>
      <c r="I30" s="20" t="s">
        <v>1097</v>
      </c>
      <c r="J30" s="20" t="s">
        <v>1098</v>
      </c>
    </row>
    <row r="31" spans="1:10" ht="30" customHeight="1" x14ac:dyDescent="0.3">
      <c r="A31" s="20" t="s">
        <v>32</v>
      </c>
      <c r="B31" s="20" t="s">
        <v>1099</v>
      </c>
      <c r="C31" s="20" t="s">
        <v>137</v>
      </c>
      <c r="D31" s="21" t="s">
        <v>1100</v>
      </c>
      <c r="E31" s="21" t="s">
        <v>1101</v>
      </c>
      <c r="F31" s="20" t="s">
        <v>1102</v>
      </c>
      <c r="G31" s="21" t="s">
        <v>1103</v>
      </c>
      <c r="H31" s="21" t="s">
        <v>1104</v>
      </c>
      <c r="I31" s="20" t="s">
        <v>1105</v>
      </c>
      <c r="J31" s="20" t="s">
        <v>1106</v>
      </c>
    </row>
    <row r="32" spans="1:10" ht="30" customHeight="1" x14ac:dyDescent="0.3">
      <c r="A32" s="20" t="s">
        <v>32</v>
      </c>
      <c r="B32" s="20" t="s">
        <v>1107</v>
      </c>
      <c r="C32" s="20" t="s">
        <v>77</v>
      </c>
      <c r="D32" s="21" t="s">
        <v>1108</v>
      </c>
      <c r="E32" s="21" t="s">
        <v>1109</v>
      </c>
      <c r="F32" s="20" t="s">
        <v>1110</v>
      </c>
      <c r="G32" s="21" t="s">
        <v>1111</v>
      </c>
      <c r="H32" s="21" t="s">
        <v>1112</v>
      </c>
      <c r="I32" s="20" t="s">
        <v>1113</v>
      </c>
      <c r="J32" s="20" t="s">
        <v>1114</v>
      </c>
    </row>
    <row r="33" spans="1:10" ht="30" customHeight="1" x14ac:dyDescent="0.3">
      <c r="A33" s="20" t="s">
        <v>33</v>
      </c>
      <c r="B33" s="20" t="s">
        <v>1115</v>
      </c>
      <c r="C33" s="20" t="s">
        <v>962</v>
      </c>
      <c r="D33" s="21" t="s">
        <v>1116</v>
      </c>
      <c r="E33" s="21" t="s">
        <v>1117</v>
      </c>
      <c r="F33" s="20" t="s">
        <v>1118</v>
      </c>
      <c r="G33" s="21" t="s">
        <v>1119</v>
      </c>
      <c r="H33" s="21" t="s">
        <v>1120</v>
      </c>
      <c r="I33" s="20" t="s">
        <v>1121</v>
      </c>
      <c r="J33" s="20" t="s">
        <v>1122</v>
      </c>
    </row>
    <row r="34" spans="1:10" ht="30" customHeight="1" x14ac:dyDescent="0.3">
      <c r="A34" s="20" t="s">
        <v>33</v>
      </c>
      <c r="B34" s="20" t="s">
        <v>1123</v>
      </c>
      <c r="C34" s="20" t="s">
        <v>911</v>
      </c>
      <c r="D34" s="21" t="s">
        <v>464</v>
      </c>
      <c r="E34" s="21" t="s">
        <v>1124</v>
      </c>
      <c r="F34" s="20" t="s">
        <v>1125</v>
      </c>
      <c r="G34" s="21" t="s">
        <v>1126</v>
      </c>
      <c r="H34" s="21" t="s">
        <v>1127</v>
      </c>
      <c r="I34" s="20" t="s">
        <v>1128</v>
      </c>
      <c r="J34" s="20" t="s">
        <v>1129</v>
      </c>
    </row>
    <row r="35" spans="1:10" ht="30" customHeight="1" x14ac:dyDescent="0.3">
      <c r="A35" s="20" t="s">
        <v>34</v>
      </c>
      <c r="B35" s="20" t="s">
        <v>1130</v>
      </c>
      <c r="C35" s="20" t="s">
        <v>936</v>
      </c>
      <c r="D35" s="21" t="s">
        <v>1131</v>
      </c>
      <c r="E35" s="21" t="s">
        <v>1132</v>
      </c>
      <c r="F35" s="20" t="s">
        <v>1133</v>
      </c>
      <c r="G35" s="21" t="s">
        <v>1134</v>
      </c>
      <c r="H35" s="21" t="s">
        <v>1135</v>
      </c>
      <c r="I35" s="20" t="s">
        <v>1136</v>
      </c>
      <c r="J35" s="20" t="s">
        <v>355</v>
      </c>
    </row>
    <row r="36" spans="1:10" ht="30" customHeight="1" x14ac:dyDescent="0.3">
      <c r="A36" s="20" t="s">
        <v>34</v>
      </c>
      <c r="B36" s="20" t="s">
        <v>1137</v>
      </c>
      <c r="C36" s="20" t="s">
        <v>911</v>
      </c>
      <c r="D36" s="21" t="s">
        <v>1138</v>
      </c>
      <c r="E36" s="21" t="s">
        <v>1139</v>
      </c>
      <c r="F36" s="20" t="s">
        <v>1140</v>
      </c>
      <c r="G36" s="21" t="s">
        <v>1141</v>
      </c>
      <c r="H36" s="21" t="s">
        <v>1142</v>
      </c>
      <c r="I36" s="20" t="s">
        <v>1143</v>
      </c>
      <c r="J36" s="20" t="s">
        <v>1144</v>
      </c>
    </row>
    <row r="37" spans="1:10" ht="30" customHeight="1" x14ac:dyDescent="0.3">
      <c r="A37" s="20" t="s">
        <v>35</v>
      </c>
      <c r="B37" s="20" t="s">
        <v>1145</v>
      </c>
      <c r="C37" s="20" t="s">
        <v>936</v>
      </c>
      <c r="D37" s="21" t="s">
        <v>1146</v>
      </c>
      <c r="E37" s="21" t="s">
        <v>1147</v>
      </c>
      <c r="F37" s="20" t="s">
        <v>1070</v>
      </c>
      <c r="G37" s="21" t="s">
        <v>1148</v>
      </c>
      <c r="H37" s="21" t="s">
        <v>1149</v>
      </c>
      <c r="I37" s="20" t="s">
        <v>1150</v>
      </c>
      <c r="J37" s="20" t="s">
        <v>1151</v>
      </c>
    </row>
    <row r="38" spans="1:10" ht="30" customHeight="1" x14ac:dyDescent="0.3">
      <c r="A38" s="20" t="s">
        <v>35</v>
      </c>
      <c r="B38" s="20" t="s">
        <v>1152</v>
      </c>
      <c r="C38" s="20" t="s">
        <v>962</v>
      </c>
      <c r="D38" s="21" t="s">
        <v>1153</v>
      </c>
      <c r="E38" s="21" t="s">
        <v>1154</v>
      </c>
      <c r="F38" s="20" t="s">
        <v>1155</v>
      </c>
      <c r="G38" s="21" t="s">
        <v>1156</v>
      </c>
      <c r="H38" s="21" t="s">
        <v>586</v>
      </c>
      <c r="I38" s="20" t="s">
        <v>587</v>
      </c>
      <c r="J38" s="20" t="s">
        <v>588</v>
      </c>
    </row>
    <row r="39" spans="1:10" ht="30" customHeight="1" x14ac:dyDescent="0.3">
      <c r="A39" s="20" t="s">
        <v>35</v>
      </c>
      <c r="B39" s="20" t="s">
        <v>1157</v>
      </c>
      <c r="C39" s="20" t="s">
        <v>962</v>
      </c>
      <c r="D39" s="21" t="s">
        <v>1158</v>
      </c>
      <c r="E39" s="21" t="s">
        <v>1159</v>
      </c>
      <c r="F39" s="20" t="s">
        <v>989</v>
      </c>
      <c r="G39" s="21" t="s">
        <v>1160</v>
      </c>
      <c r="H39" s="21" t="s">
        <v>1161</v>
      </c>
      <c r="I39" s="20" t="s">
        <v>1162</v>
      </c>
      <c r="J39" s="20" t="s">
        <v>1163</v>
      </c>
    </row>
    <row r="40" spans="1:10" ht="30" customHeight="1" x14ac:dyDescent="0.3">
      <c r="A40" s="20" t="s">
        <v>35</v>
      </c>
      <c r="B40" s="20" t="s">
        <v>1164</v>
      </c>
      <c r="C40" s="20" t="s">
        <v>911</v>
      </c>
      <c r="D40" s="21" t="s">
        <v>1165</v>
      </c>
      <c r="E40" s="21" t="s">
        <v>1166</v>
      </c>
      <c r="F40" s="20" t="s">
        <v>981</v>
      </c>
      <c r="G40" s="21" t="s">
        <v>1167</v>
      </c>
      <c r="H40" s="21" t="s">
        <v>1168</v>
      </c>
      <c r="I40" s="20" t="s">
        <v>1169</v>
      </c>
      <c r="J40" s="20" t="s">
        <v>1170</v>
      </c>
    </row>
    <row r="41" spans="1:10" ht="30" customHeight="1" x14ac:dyDescent="0.3">
      <c r="A41" s="20" t="s">
        <v>35</v>
      </c>
      <c r="B41" s="20" t="s">
        <v>1171</v>
      </c>
      <c r="C41" s="20" t="s">
        <v>137</v>
      </c>
      <c r="D41" s="21" t="s">
        <v>1172</v>
      </c>
      <c r="E41" s="21" t="s">
        <v>521</v>
      </c>
      <c r="F41" s="20" t="s">
        <v>989</v>
      </c>
      <c r="G41" s="21" t="s">
        <v>1173</v>
      </c>
      <c r="H41" s="21" t="s">
        <v>525</v>
      </c>
      <c r="I41" s="20" t="s">
        <v>526</v>
      </c>
      <c r="J41" s="20" t="s">
        <v>527</v>
      </c>
    </row>
    <row r="42" spans="1:10" ht="30" customHeight="1" x14ac:dyDescent="0.3">
      <c r="A42" s="20" t="s">
        <v>35</v>
      </c>
      <c r="B42" s="20" t="s">
        <v>1174</v>
      </c>
      <c r="C42" s="20" t="s">
        <v>77</v>
      </c>
      <c r="D42" s="21" t="s">
        <v>545</v>
      </c>
      <c r="E42" s="21" t="s">
        <v>567</v>
      </c>
      <c r="F42" s="20" t="s">
        <v>989</v>
      </c>
      <c r="G42" s="21" t="s">
        <v>1175</v>
      </c>
      <c r="H42" s="21" t="s">
        <v>571</v>
      </c>
      <c r="I42" s="20" t="s">
        <v>572</v>
      </c>
      <c r="J42" s="20" t="s">
        <v>573</v>
      </c>
    </row>
    <row r="43" spans="1:10" ht="30" customHeight="1" x14ac:dyDescent="0.3">
      <c r="A43" s="20" t="s">
        <v>37</v>
      </c>
      <c r="B43" s="20" t="s">
        <v>1176</v>
      </c>
      <c r="C43" s="20" t="s">
        <v>77</v>
      </c>
      <c r="D43" s="21" t="s">
        <v>1177</v>
      </c>
      <c r="E43" s="21" t="s">
        <v>613</v>
      </c>
      <c r="F43" s="20" t="s">
        <v>1178</v>
      </c>
      <c r="G43" s="21" t="s">
        <v>1179</v>
      </c>
      <c r="H43" s="21" t="s">
        <v>616</v>
      </c>
      <c r="I43" s="20" t="s">
        <v>617</v>
      </c>
      <c r="J43" s="20" t="s">
        <v>618</v>
      </c>
    </row>
    <row r="44" spans="1:10" ht="30" customHeight="1" x14ac:dyDescent="0.3">
      <c r="A44" s="20" t="s">
        <v>39</v>
      </c>
      <c r="B44" s="20" t="s">
        <v>1180</v>
      </c>
      <c r="C44" s="20" t="s">
        <v>936</v>
      </c>
      <c r="D44" s="21" t="s">
        <v>1181</v>
      </c>
      <c r="E44" s="21" t="s">
        <v>1182</v>
      </c>
      <c r="F44" s="20" t="s">
        <v>1183</v>
      </c>
      <c r="G44" s="21" t="s">
        <v>1184</v>
      </c>
      <c r="H44" s="21" t="s">
        <v>1185</v>
      </c>
      <c r="I44" s="20" t="s">
        <v>1186</v>
      </c>
      <c r="J44" s="20" t="s">
        <v>1187</v>
      </c>
    </row>
    <row r="45" spans="1:10" ht="30" customHeight="1" x14ac:dyDescent="0.3">
      <c r="A45" s="20" t="s">
        <v>39</v>
      </c>
      <c r="B45" s="20" t="s">
        <v>1188</v>
      </c>
      <c r="C45" s="20" t="s">
        <v>911</v>
      </c>
      <c r="D45" s="21" t="s">
        <v>1181</v>
      </c>
      <c r="E45" s="21" t="s">
        <v>1189</v>
      </c>
      <c r="F45" s="20" t="s">
        <v>1190</v>
      </c>
      <c r="G45" s="21" t="s">
        <v>1191</v>
      </c>
      <c r="H45" s="21" t="s">
        <v>1192</v>
      </c>
      <c r="I45" s="20" t="s">
        <v>1193</v>
      </c>
      <c r="J45" s="20" t="s">
        <v>1194</v>
      </c>
    </row>
    <row r="46" spans="1:10" ht="30" customHeight="1" x14ac:dyDescent="0.3">
      <c r="A46" s="20" t="s">
        <v>39</v>
      </c>
      <c r="B46" s="20" t="s">
        <v>1195</v>
      </c>
      <c r="C46" s="20" t="s">
        <v>911</v>
      </c>
      <c r="D46" s="21" t="s">
        <v>1196</v>
      </c>
      <c r="E46" s="21" t="s">
        <v>1197</v>
      </c>
      <c r="F46" s="20" t="s">
        <v>1198</v>
      </c>
      <c r="G46" s="21" t="s">
        <v>1199</v>
      </c>
      <c r="H46" s="21" t="s">
        <v>1200</v>
      </c>
      <c r="I46" s="20" t="s">
        <v>1201</v>
      </c>
      <c r="J46" s="20" t="s">
        <v>1202</v>
      </c>
    </row>
    <row r="47" spans="1:10" ht="30" customHeight="1" x14ac:dyDescent="0.3">
      <c r="A47" s="20" t="s">
        <v>41</v>
      </c>
      <c r="B47" s="20" t="s">
        <v>1203</v>
      </c>
      <c r="C47" s="20" t="s">
        <v>911</v>
      </c>
      <c r="D47" s="21" t="s">
        <v>1204</v>
      </c>
      <c r="E47" s="21" t="s">
        <v>1205</v>
      </c>
      <c r="F47" s="20" t="s">
        <v>1206</v>
      </c>
      <c r="G47" s="21" t="s">
        <v>1207</v>
      </c>
      <c r="H47" s="21" t="s">
        <v>1208</v>
      </c>
      <c r="I47" s="20" t="s">
        <v>1209</v>
      </c>
      <c r="J47" s="20" t="s">
        <v>1210</v>
      </c>
    </row>
    <row r="48" spans="1:10" ht="30" customHeight="1" x14ac:dyDescent="0.3">
      <c r="A48" s="20" t="s">
        <v>41</v>
      </c>
      <c r="B48" s="20" t="s">
        <v>1211</v>
      </c>
      <c r="C48" s="20" t="s">
        <v>137</v>
      </c>
      <c r="D48" s="21" t="s">
        <v>1212</v>
      </c>
      <c r="E48" s="21" t="s">
        <v>1213</v>
      </c>
      <c r="F48" s="20" t="s">
        <v>1214</v>
      </c>
      <c r="G48" s="21" t="s">
        <v>1215</v>
      </c>
      <c r="H48" s="21" t="s">
        <v>1211</v>
      </c>
      <c r="I48" s="20" t="s">
        <v>1216</v>
      </c>
      <c r="J48" s="20" t="s">
        <v>1217</v>
      </c>
    </row>
    <row r="49" spans="1:10" ht="30" customHeight="1" x14ac:dyDescent="0.3">
      <c r="A49" s="20" t="s">
        <v>42</v>
      </c>
      <c r="B49" s="20" t="s">
        <v>1218</v>
      </c>
      <c r="C49" s="20" t="s">
        <v>936</v>
      </c>
      <c r="D49" s="21" t="s">
        <v>1219</v>
      </c>
      <c r="E49" s="21" t="s">
        <v>1220</v>
      </c>
      <c r="F49" s="20" t="s">
        <v>1221</v>
      </c>
      <c r="G49" s="21" t="s">
        <v>1222</v>
      </c>
      <c r="H49" s="21" t="s">
        <v>1223</v>
      </c>
      <c r="I49" s="20" t="s">
        <v>1224</v>
      </c>
      <c r="J49" s="20" t="s">
        <v>1225</v>
      </c>
    </row>
    <row r="50" spans="1:10" ht="30" customHeight="1" x14ac:dyDescent="0.3">
      <c r="A50" s="20" t="s">
        <v>42</v>
      </c>
      <c r="B50" s="20" t="s">
        <v>1226</v>
      </c>
      <c r="C50" s="20" t="s">
        <v>936</v>
      </c>
      <c r="D50" s="21" t="s">
        <v>1227</v>
      </c>
      <c r="E50" s="21" t="s">
        <v>1228</v>
      </c>
      <c r="F50" s="20" t="s">
        <v>1229</v>
      </c>
      <c r="G50" s="21" t="s">
        <v>1230</v>
      </c>
      <c r="H50" s="21" t="s">
        <v>1223</v>
      </c>
      <c r="I50" s="20" t="s">
        <v>1224</v>
      </c>
      <c r="J50" s="20" t="s">
        <v>1225</v>
      </c>
    </row>
    <row r="51" spans="1:10" ht="30" customHeight="1" x14ac:dyDescent="0.3">
      <c r="A51" s="20" t="s">
        <v>42</v>
      </c>
      <c r="B51" s="20" t="s">
        <v>1231</v>
      </c>
      <c r="C51" s="20" t="s">
        <v>936</v>
      </c>
      <c r="D51" s="21" t="s">
        <v>1232</v>
      </c>
      <c r="E51" s="21" t="s">
        <v>1228</v>
      </c>
      <c r="F51" s="20" t="s">
        <v>1229</v>
      </c>
      <c r="G51" s="21" t="s">
        <v>1233</v>
      </c>
      <c r="H51" s="21" t="s">
        <v>1234</v>
      </c>
      <c r="I51" s="20" t="s">
        <v>1235</v>
      </c>
      <c r="J51" s="20" t="s">
        <v>1236</v>
      </c>
    </row>
    <row r="52" spans="1:10" ht="30" customHeight="1" x14ac:dyDescent="0.3">
      <c r="A52" s="20" t="s">
        <v>42</v>
      </c>
      <c r="B52" s="20" t="s">
        <v>1237</v>
      </c>
      <c r="C52" s="20" t="s">
        <v>911</v>
      </c>
      <c r="D52" s="21" t="s">
        <v>1238</v>
      </c>
      <c r="E52" s="21" t="s">
        <v>1239</v>
      </c>
      <c r="F52" s="20" t="s">
        <v>1240</v>
      </c>
      <c r="G52" s="21" t="s">
        <v>1241</v>
      </c>
      <c r="H52" s="21" t="s">
        <v>1242</v>
      </c>
      <c r="I52" s="20" t="s">
        <v>1243</v>
      </c>
      <c r="J52" s="20" t="s">
        <v>1244</v>
      </c>
    </row>
    <row r="53" spans="1:10" ht="30" customHeight="1" x14ac:dyDescent="0.3">
      <c r="A53" s="20" t="s">
        <v>42</v>
      </c>
      <c r="B53" s="20" t="s">
        <v>1245</v>
      </c>
      <c r="C53" s="20" t="s">
        <v>911</v>
      </c>
      <c r="D53" s="21" t="s">
        <v>1246</v>
      </c>
      <c r="E53" s="21" t="s">
        <v>1247</v>
      </c>
      <c r="F53" s="20" t="s">
        <v>1248</v>
      </c>
      <c r="G53" s="21" t="s">
        <v>1249</v>
      </c>
      <c r="H53" s="21" t="s">
        <v>687</v>
      </c>
      <c r="I53" s="20" t="s">
        <v>688</v>
      </c>
      <c r="J53" s="20" t="s">
        <v>689</v>
      </c>
    </row>
    <row r="54" spans="1:10" ht="30" customHeight="1" x14ac:dyDescent="0.3">
      <c r="A54" s="20" t="s">
        <v>42</v>
      </c>
      <c r="B54" s="20" t="s">
        <v>1250</v>
      </c>
      <c r="C54" s="20" t="s">
        <v>137</v>
      </c>
      <c r="D54" s="21" t="s">
        <v>1251</v>
      </c>
      <c r="E54" s="21" t="s">
        <v>1252</v>
      </c>
      <c r="F54" s="20" t="s">
        <v>981</v>
      </c>
      <c r="G54" s="21" t="s">
        <v>1253</v>
      </c>
      <c r="H54" s="21" t="s">
        <v>1254</v>
      </c>
      <c r="I54" s="20" t="s">
        <v>1255</v>
      </c>
      <c r="J54" s="20" t="s">
        <v>1256</v>
      </c>
    </row>
    <row r="55" spans="1:10" ht="30" customHeight="1" x14ac:dyDescent="0.3">
      <c r="A55" s="20" t="s">
        <v>42</v>
      </c>
      <c r="B55" s="20" t="s">
        <v>1257</v>
      </c>
      <c r="C55" s="20" t="s">
        <v>137</v>
      </c>
      <c r="D55" s="21" t="s">
        <v>1258</v>
      </c>
      <c r="E55" s="21" t="s">
        <v>1259</v>
      </c>
      <c r="F55" s="20" t="s">
        <v>989</v>
      </c>
      <c r="G55" s="21" t="s">
        <v>1260</v>
      </c>
      <c r="H55" s="21" t="s">
        <v>745</v>
      </c>
      <c r="I55" s="20" t="s">
        <v>746</v>
      </c>
      <c r="J55" s="20" t="s">
        <v>747</v>
      </c>
    </row>
    <row r="56" spans="1:10" ht="30" customHeight="1" x14ac:dyDescent="0.3">
      <c r="A56" s="20" t="s">
        <v>42</v>
      </c>
      <c r="B56" s="20" t="s">
        <v>1261</v>
      </c>
      <c r="C56" s="20" t="s">
        <v>77</v>
      </c>
      <c r="D56" s="21" t="s">
        <v>1262</v>
      </c>
      <c r="E56" s="21" t="s">
        <v>719</v>
      </c>
      <c r="F56" s="20" t="s">
        <v>1263</v>
      </c>
      <c r="G56" s="21" t="s">
        <v>1264</v>
      </c>
      <c r="H56" s="21" t="s">
        <v>1265</v>
      </c>
      <c r="I56" s="20" t="s">
        <v>1266</v>
      </c>
      <c r="J56" s="20" t="s">
        <v>710</v>
      </c>
    </row>
    <row r="57" spans="1:10" ht="30" customHeight="1" x14ac:dyDescent="0.3">
      <c r="A57" s="20" t="s">
        <v>44</v>
      </c>
      <c r="B57" s="20" t="s">
        <v>1267</v>
      </c>
      <c r="C57" s="20" t="s">
        <v>936</v>
      </c>
      <c r="D57" s="21" t="s">
        <v>1268</v>
      </c>
      <c r="E57" s="21" t="s">
        <v>1269</v>
      </c>
      <c r="F57" s="20" t="s">
        <v>989</v>
      </c>
      <c r="G57" s="21" t="s">
        <v>1270</v>
      </c>
      <c r="H57" s="21" t="s">
        <v>1271</v>
      </c>
      <c r="I57" s="20" t="s">
        <v>1272</v>
      </c>
      <c r="J57" s="20" t="s">
        <v>1273</v>
      </c>
    </row>
    <row r="58" spans="1:10" ht="30" customHeight="1" x14ac:dyDescent="0.3">
      <c r="A58" s="20" t="s">
        <v>44</v>
      </c>
      <c r="B58" s="20" t="s">
        <v>1274</v>
      </c>
      <c r="C58" s="20" t="s">
        <v>962</v>
      </c>
      <c r="D58" s="21" t="s">
        <v>1275</v>
      </c>
      <c r="E58" s="21" t="s">
        <v>1276</v>
      </c>
      <c r="F58" s="20" t="s">
        <v>989</v>
      </c>
      <c r="G58" s="21" t="s">
        <v>1277</v>
      </c>
      <c r="H58" s="21" t="s">
        <v>1278</v>
      </c>
      <c r="I58" s="20" t="s">
        <v>1279</v>
      </c>
      <c r="J58" s="20" t="s">
        <v>1280</v>
      </c>
    </row>
    <row r="59" spans="1:10" ht="30" customHeight="1" x14ac:dyDescent="0.3">
      <c r="A59" s="20" t="s">
        <v>44</v>
      </c>
      <c r="B59" s="20" t="s">
        <v>1281</v>
      </c>
      <c r="C59" s="20" t="s">
        <v>962</v>
      </c>
      <c r="D59" s="21" t="s">
        <v>1282</v>
      </c>
      <c r="E59" s="21" t="s">
        <v>1283</v>
      </c>
      <c r="F59" s="20" t="s">
        <v>981</v>
      </c>
      <c r="G59" s="21" t="s">
        <v>1284</v>
      </c>
      <c r="H59" s="21" t="s">
        <v>1285</v>
      </c>
      <c r="I59" s="20" t="s">
        <v>1286</v>
      </c>
      <c r="J59" s="20" t="s">
        <v>543</v>
      </c>
    </row>
    <row r="60" spans="1:10" ht="30" customHeight="1" x14ac:dyDescent="0.3">
      <c r="A60" s="20" t="s">
        <v>44</v>
      </c>
      <c r="B60" s="20" t="s">
        <v>1287</v>
      </c>
      <c r="C60" s="20" t="s">
        <v>911</v>
      </c>
      <c r="D60" s="21" t="s">
        <v>1288</v>
      </c>
      <c r="E60" s="21" t="s">
        <v>1289</v>
      </c>
      <c r="F60" s="20" t="s">
        <v>1030</v>
      </c>
      <c r="G60" s="21" t="s">
        <v>1290</v>
      </c>
      <c r="H60" s="21" t="s">
        <v>774</v>
      </c>
      <c r="I60" s="20" t="s">
        <v>775</v>
      </c>
      <c r="J60" s="20" t="s">
        <v>368</v>
      </c>
    </row>
    <row r="61" spans="1:10" ht="30" customHeight="1" x14ac:dyDescent="0.3">
      <c r="A61" s="20" t="s">
        <v>44</v>
      </c>
      <c r="B61" s="20" t="s">
        <v>1291</v>
      </c>
      <c r="C61" s="20" t="s">
        <v>137</v>
      </c>
      <c r="D61" s="21" t="s">
        <v>1292</v>
      </c>
      <c r="E61" s="21" t="s">
        <v>1293</v>
      </c>
      <c r="F61" s="20" t="s">
        <v>989</v>
      </c>
      <c r="G61" s="21" t="s">
        <v>1294</v>
      </c>
      <c r="H61" s="21" t="s">
        <v>830</v>
      </c>
      <c r="I61" s="20" t="s">
        <v>831</v>
      </c>
      <c r="J61" s="20" t="s">
        <v>832</v>
      </c>
    </row>
    <row r="62" spans="1:10" ht="30" customHeight="1" x14ac:dyDescent="0.3">
      <c r="A62" s="20" t="s">
        <v>44</v>
      </c>
      <c r="B62" s="20" t="s">
        <v>1295</v>
      </c>
      <c r="C62" s="20" t="s">
        <v>77</v>
      </c>
      <c r="D62" s="21" t="s">
        <v>1296</v>
      </c>
      <c r="E62" s="21" t="s">
        <v>286</v>
      </c>
      <c r="F62" s="20" t="s">
        <v>981</v>
      </c>
      <c r="G62" s="21" t="s">
        <v>1297</v>
      </c>
      <c r="H62" s="21" t="s">
        <v>1298</v>
      </c>
      <c r="I62" s="20" t="s">
        <v>1299</v>
      </c>
      <c r="J62" s="20" t="s">
        <v>1300</v>
      </c>
    </row>
    <row r="63" spans="1:10" ht="30" customHeight="1" x14ac:dyDescent="0.3">
      <c r="A63" s="20" t="s">
        <v>46</v>
      </c>
      <c r="B63" s="20" t="s">
        <v>1301</v>
      </c>
      <c r="C63" s="20" t="s">
        <v>936</v>
      </c>
      <c r="D63" s="21" t="s">
        <v>1302</v>
      </c>
      <c r="E63" s="21" t="s">
        <v>1303</v>
      </c>
      <c r="F63" s="20" t="s">
        <v>1304</v>
      </c>
      <c r="G63" s="21" t="s">
        <v>1305</v>
      </c>
      <c r="H63" s="21" t="s">
        <v>1306</v>
      </c>
      <c r="I63" s="20" t="s">
        <v>1307</v>
      </c>
      <c r="J63" s="20" t="s">
        <v>1308</v>
      </c>
    </row>
    <row r="64" spans="1:10" ht="30" customHeight="1" x14ac:dyDescent="0.3">
      <c r="A64" s="20" t="s">
        <v>46</v>
      </c>
      <c r="B64" s="20" t="s">
        <v>1309</v>
      </c>
      <c r="C64" s="20" t="s">
        <v>137</v>
      </c>
      <c r="D64" s="21" t="s">
        <v>1310</v>
      </c>
      <c r="E64" s="21" t="s">
        <v>1311</v>
      </c>
      <c r="F64" s="20" t="s">
        <v>1312</v>
      </c>
      <c r="G64" s="21" t="s">
        <v>1313</v>
      </c>
      <c r="H64" s="21" t="s">
        <v>1314</v>
      </c>
      <c r="I64" s="20" t="s">
        <v>1315</v>
      </c>
      <c r="J64" s="20" t="s">
        <v>1316</v>
      </c>
    </row>
    <row r="65" spans="1:10" ht="30" customHeight="1" x14ac:dyDescent="0.3">
      <c r="A65" s="20" t="s">
        <v>46</v>
      </c>
      <c r="B65" s="20" t="s">
        <v>1317</v>
      </c>
      <c r="C65" s="20" t="s">
        <v>77</v>
      </c>
      <c r="D65" s="21" t="s">
        <v>1318</v>
      </c>
      <c r="E65" s="21" t="s">
        <v>1319</v>
      </c>
      <c r="F65" s="20" t="s">
        <v>1320</v>
      </c>
      <c r="G65" s="21" t="s">
        <v>1321</v>
      </c>
      <c r="H65" s="21" t="s">
        <v>1322</v>
      </c>
      <c r="I65" s="20" t="s">
        <v>1323</v>
      </c>
      <c r="J65" s="20" t="s">
        <v>543</v>
      </c>
    </row>
    <row r="66" spans="1:10" ht="30" customHeight="1" x14ac:dyDescent="0.3">
      <c r="A66" s="20" t="s">
        <v>48</v>
      </c>
      <c r="B66" s="20" t="s">
        <v>1324</v>
      </c>
      <c r="C66" s="20" t="s">
        <v>936</v>
      </c>
      <c r="D66" s="21" t="s">
        <v>1325</v>
      </c>
      <c r="E66" s="21" t="s">
        <v>1326</v>
      </c>
      <c r="F66" s="20" t="s">
        <v>1327</v>
      </c>
      <c r="G66" s="21" t="s">
        <v>1328</v>
      </c>
      <c r="H66" s="21" t="s">
        <v>873</v>
      </c>
      <c r="I66" s="20" t="s">
        <v>874</v>
      </c>
      <c r="J66" s="20" t="s">
        <v>875</v>
      </c>
    </row>
    <row r="67" spans="1:10" ht="30" customHeight="1" x14ac:dyDescent="0.3">
      <c r="A67" s="20" t="s">
        <v>48</v>
      </c>
      <c r="B67" s="20" t="s">
        <v>1329</v>
      </c>
      <c r="C67" s="20" t="s">
        <v>137</v>
      </c>
      <c r="D67" s="21" t="s">
        <v>1330</v>
      </c>
      <c r="E67" s="21" t="s">
        <v>1331</v>
      </c>
      <c r="F67" s="20" t="s">
        <v>1332</v>
      </c>
      <c r="G67" s="21" t="s">
        <v>1333</v>
      </c>
      <c r="H67" s="21" t="s">
        <v>1334</v>
      </c>
      <c r="I67" s="20" t="s">
        <v>1335</v>
      </c>
      <c r="J67" s="20" t="s">
        <v>70</v>
      </c>
    </row>
    <row r="68" spans="1:10" ht="30" customHeight="1" x14ac:dyDescent="0.3">
      <c r="A68" s="20" t="s">
        <v>48</v>
      </c>
      <c r="B68" s="20" t="s">
        <v>1336</v>
      </c>
      <c r="C68" s="20" t="s">
        <v>77</v>
      </c>
      <c r="D68" s="21" t="s">
        <v>48</v>
      </c>
      <c r="E68" s="21" t="s">
        <v>889</v>
      </c>
      <c r="F68" s="20" t="s">
        <v>1337</v>
      </c>
      <c r="G68" s="21" t="s">
        <v>1338</v>
      </c>
      <c r="H68" s="21" t="s">
        <v>893</v>
      </c>
      <c r="I68" s="20" t="s">
        <v>894</v>
      </c>
      <c r="J68" s="20" t="s">
        <v>895</v>
      </c>
    </row>
  </sheetData>
  <autoFilter ref="A2:J68" xr:uid="{00000000-0009-0000-0000-000003000000}"/>
  <mergeCells count="3">
    <mergeCell ref="A1:E1"/>
    <mergeCell ref="F1:G1"/>
    <mergeCell ref="H1:J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Methodology</vt:lpstr>
      <vt:lpstr>Companies</vt:lpstr>
      <vt:lpstr>Infrastructure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Leon KB</cp:lastModifiedBy>
  <cp:revision>0</cp:revision>
  <dcterms:created xsi:type="dcterms:W3CDTF">2026-09-05T08:07:09Z</dcterms:created>
  <dcterms:modified xsi:type="dcterms:W3CDTF">2026-09-05T08:20:37Z</dcterms:modified>
  <dc:language>en-US</dc:language>
</cp:coreProperties>
</file>