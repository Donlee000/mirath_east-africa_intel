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ta" sheetId="2" state="visible" r:id="rId4"/>
    <sheet name="Country Snapshot" sheetId="3" state="visible" r:id="rId5"/>
  </sheets>
  <definedNames>
    <definedName function="false" hidden="true" localSheetId="2" name="_xlnm._FilterDatabase" vbProcedure="false">'Country Snapshot'!$A$2:$G$22</definedName>
    <definedName function="false" hidden="true" localSheetId="1" name="_xlnm._FilterDatabase" vbProcedure="false">Data!$A$2:$G$122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<sst xmlns="http://schemas.openxmlformats.org/spreadsheetml/2006/main" count="191" uniqueCount="49">
  <si>
    <t xml:space="preserve">East &amp; Southern Africa + UAE — Macroeconomic Indicators</t>
  </si>
  <si>
    <t xml:space="preserve">Source: World Bank Open Data (World Development Indicators), fetched September 2026. GDP (current US$): NY.GDP.MKTP.CD; GDP Growth (annual %): NY.GDP.MKTP.KD.ZG; GDP Per Capita (current US$): NY.GDP.PCAP.CD; Inflation, consumer prices (annual %): FP.CPI.TOTL.ZG; FDI, net inflows (% of GDP): BX.KLT.DINV.WD.GD.ZS.</t>
  </si>
  <si>
    <t xml:space="preserve">Coverage: 2019-2024, all 20 countries in your data model's DIM_COUNTRY — Kenya, Tanzania, Uganda, Rwanda, Ethiopia, UAE, plus the 14-country expansion (Burundi, Comoros, Djibouti, DRC Congo, Eritrea, Madagascar, Malawi, Mauritius, Mozambique, Seychelles, Somalia, South Sudan, Zambia, Zimbabwe).</t>
  </si>
  <si>
    <t xml:space="preserve">This is FACT_MACRO: it fills the GDP / GDP Growth / GDP Per Capita / Inflation / FDI columns of your data model for every country. Unlike the Company/Infrastructure and Regional Economy workbooks (compiled from individual sources), this one comes from a single official, programmatically-fetched dataset.</t>
  </si>
  <si>
    <t xml:space="preserve">How this workbook is organized</t>
  </si>
  <si>
    <t xml:space="preserve">Sheet</t>
  </si>
  <si>
    <t xml:space="preserve">Contents</t>
  </si>
  <si>
    <t xml:space="preserve">Data</t>
  </si>
  <si>
    <t xml:space="preserve">One row per Country x Year (20 countries x 2019-2024 = 120 rows), all 5 indicators.</t>
  </si>
  <si>
    <t xml:space="preserve">Country Snapshot</t>
  </si>
  <si>
    <t xml:space="preserve">One row per country showing the latest available (2024, or most recent non-blank) value for each indicator, for a fast cross-country comparison.</t>
  </si>
  <si>
    <t xml:space="preserve">Data notes</t>
  </si>
  <si>
    <t xml:space="preserve">• Blank cells mean the World Bank has not published that indicator/year for that country (not zero) — most commonly Eritrea and South Sudan, where data reporting is limited or interrupted, and occasional single-year gaps elsewhere (e.g. DRC Congo, Somalia and Zimbabwe inflation, Zimbabwe 2023-2024 inflation following its 2024 currency reform).</t>
  </si>
  <si>
    <t xml:space="preserve">• FDI is shown as net inflows as a % of GDP (not an absolute dollar figure) so it is comparable across economies of very different sizes — Mozambique's large LNG-linked FDI share and Seychelles' small, high-turnover economy both show up clearly this way.</t>
  </si>
  <si>
    <t xml:space="preserve">• All figures are as published by the World Bank at the time of fetching (September 2026) and are subject to the World Bank's own periodic revisions.</t>
  </si>
  <si>
    <t xml:space="preserve">• On the Country Snapshot sheet, "Latest Year (GDP)" reflects GDP's own most recent published year; each other indicator independently pulls its own latest available year, so two columns in the same row can reference different years where an indicator is reported on a lag (or missing) relative to GDP.</t>
  </si>
  <si>
    <t xml:space="preserve">GDP</t>
  </si>
  <si>
    <t xml:space="preserve">Growth &amp; Per Capita</t>
  </si>
  <si>
    <t xml:space="preserve">Prices</t>
  </si>
  <si>
    <t xml:space="preserve">Investment</t>
  </si>
  <si>
    <t xml:space="preserve">Country</t>
  </si>
  <si>
    <t xml:space="preserve">Year</t>
  </si>
  <si>
    <t xml:space="preserve">GDP (current US$)</t>
  </si>
  <si>
    <t xml:space="preserve">GDP Growth (%, annual)</t>
  </si>
  <si>
    <t xml:space="preserve">GDP Per Capita (current US$)</t>
  </si>
  <si>
    <t xml:space="preserve">Inflation, Consumer Prices (%, annual)</t>
  </si>
  <si>
    <t xml:space="preserve">FDI, Net Inflows (% of GDP)</t>
  </si>
  <si>
    <t xml:space="preserve">Kenya</t>
  </si>
  <si>
    <t xml:space="preserve">Tanzania</t>
  </si>
  <si>
    <t xml:space="preserve">Uganda</t>
  </si>
  <si>
    <t xml:space="preserve">Rwanda</t>
  </si>
  <si>
    <t xml:space="preserve">Ethiopia</t>
  </si>
  <si>
    <t xml:space="preserve">United Arab Emirates</t>
  </si>
  <si>
    <t xml:space="preserve">Burundi</t>
  </si>
  <si>
    <t xml:space="preserve">Comoros</t>
  </si>
  <si>
    <t xml:space="preserve">Djibouti</t>
  </si>
  <si>
    <t xml:space="preserve">DRC Congo</t>
  </si>
  <si>
    <t xml:space="preserve">Eritrea</t>
  </si>
  <si>
    <t xml:space="preserve">Madagascar</t>
  </si>
  <si>
    <t xml:space="preserve">Malawi</t>
  </si>
  <si>
    <t xml:space="preserve">Mauritius</t>
  </si>
  <si>
    <t xml:space="preserve">Mozambique</t>
  </si>
  <si>
    <t xml:space="preserve">Seychelles</t>
  </si>
  <si>
    <t xml:space="preserve">Somalia</t>
  </si>
  <si>
    <t xml:space="preserve">South Sudan</t>
  </si>
  <si>
    <t xml:space="preserve">Zambia</t>
  </si>
  <si>
    <t xml:space="preserve">Zimbabwe</t>
  </si>
  <si>
    <t xml:space="preserve">Latest Year (GDP)</t>
  </si>
  <si>
    <t xml:space="preserve">n/a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</si>
</sst>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08080"/>
        <bgColor rgb="FF969696"/>
      </patternFill>
    </fill>
    <fill>
      <patternFill patternType="solid">
        <fgColor rgb="FF375623"/>
        <bgColor rgb="FF555555"/>
      </patternFill>
    </fill>
    <fill>
      <patternFill patternType="solid">
        <fgColor rgb="FF833C0C"/>
        <bgColor rgb="FF993366"/>
      </patternFill>
    </fill>
    <fill>
      <patternFill patternType="solid">
        <fgColor rgb="FF5F3F80"/>
        <bgColor rgb="FF555555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2F2F2"/>
      </patternFill>
    </fill>
    <fill>
      <patternFill patternType="solid">
        <fgColor rgb="FFE4DF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4DF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5F3F80"/>
      <rgbColor rgb="FFF2F2F2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833C0C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2"/>
  </cols>
  <sheetData>
    <row r="1" customFormat="false" ht="30" hidden="false" customHeight="true" outlineLevel="0" collapsed="false">
      <c r="A1" s="1" t="s">
        <v>0</v>
      </c>
      <c r="B1" s="1"/>
    </row>
    <row r="3" customFormat="false" ht="35.05" hidden="false" customHeight="true" outlineLevel="0" collapsed="false">
      <c r="A3" s="2" t="s">
        <v>1</v>
      </c>
      <c r="B3" s="2"/>
    </row>
    <row r="4" customFormat="false" ht="35.05" hidden="false" customHeight="true" outlineLevel="0" collapsed="false">
      <c r="A4" s="2" t="s">
        <v>2</v>
      </c>
      <c r="B4" s="2"/>
    </row>
    <row r="5" customFormat="false" ht="35.05" hidden="false" customHeight="true" outlineLevel="0" collapsed="false">
      <c r="A5" s="2" t="s">
        <v>3</v>
      </c>
      <c r="B5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  <c r="B8" s="4" t="s">
        <v>6</v>
      </c>
    </row>
    <row r="9" customFormat="false" ht="15" hidden="false" customHeight="false" outlineLevel="0" collapsed="false">
      <c r="A9" s="5" t="s">
        <v>7</v>
      </c>
      <c r="B9" s="6" t="s">
        <v>8</v>
      </c>
    </row>
    <row r="10" customFormat="false" ht="26.85" hidden="false" customHeight="false" outlineLevel="0" collapsed="false">
      <c r="A10" s="5" t="s">
        <v>9</v>
      </c>
      <c r="B10" s="6" t="s">
        <v>10</v>
      </c>
    </row>
    <row r="12" customFormat="false" ht="15" hidden="false" customHeight="false" outlineLevel="0" collapsed="false">
      <c r="A12" s="3" t="s">
        <v>11</v>
      </c>
    </row>
    <row r="13" customFormat="false" ht="32.8" hidden="false" customHeight="true" outlineLevel="0" collapsed="false">
      <c r="A13" s="7" t="s">
        <v>12</v>
      </c>
      <c r="B13" s="7"/>
    </row>
    <row r="14" customFormat="false" ht="22.35" hidden="false" customHeight="true" outlineLevel="0" collapsed="false">
      <c r="A14" s="7" t="s">
        <v>13</v>
      </c>
      <c r="B14" s="7"/>
    </row>
    <row r="15" customFormat="false" ht="15" hidden="false" customHeight="true" outlineLevel="0" collapsed="false">
      <c r="A15" s="7" t="s">
        <v>14</v>
      </c>
      <c r="B15" s="7"/>
    </row>
    <row r="16" customFormat="false" ht="22.35" hidden="false" customHeight="true" outlineLevel="0" collapsed="false">
      <c r="A16" s="7" t="s">
        <v>15</v>
      </c>
      <c r="B16" s="7"/>
    </row>
  </sheetData>
  <mergeCells count="8">
    <mergeCell ref="A1:B1"/>
    <mergeCell ref="A3:B3"/>
    <mergeCell ref="A4:B4"/>
    <mergeCell ref="A5:B5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20"/>
  </cols>
  <sheetData>
    <row r="1" customFormat="false" ht="19.5" hidden="false" customHeight="true" outlineLevel="0" collapsed="false">
      <c r="A1" s="8"/>
      <c r="B1" s="8"/>
      <c r="C1" s="9" t="s">
        <v>16</v>
      </c>
      <c r="D1" s="10" t="s">
        <v>17</v>
      </c>
      <c r="E1" s="10"/>
      <c r="F1" s="11" t="s">
        <v>18</v>
      </c>
      <c r="G1" s="12" t="s">
        <v>19</v>
      </c>
    </row>
    <row r="2" customFormat="false" ht="31.5" hidden="false" customHeight="true" outlineLevel="0" collapsed="false">
      <c r="A2" s="13" t="s">
        <v>20</v>
      </c>
      <c r="B2" s="13" t="s">
        <v>21</v>
      </c>
      <c r="C2" s="14" t="s">
        <v>22</v>
      </c>
      <c r="D2" s="15" t="s">
        <v>23</v>
      </c>
      <c r="E2" s="15" t="s">
        <v>24</v>
      </c>
      <c r="F2" s="16" t="s">
        <v>25</v>
      </c>
      <c r="G2" s="17" t="s">
        <v>26</v>
      </c>
    </row>
    <row r="3" customFormat="false" ht="15" hidden="false" customHeight="false" outlineLevel="0" collapsed="false">
      <c r="A3" s="18" t="s">
        <v>27</v>
      </c>
      <c r="B3" s="19" t="n">
        <v>2019</v>
      </c>
      <c r="C3" s="20" t="n">
        <v>100378436207.371</v>
      </c>
      <c r="D3" s="21" t="n">
        <v>5.11415885767801</v>
      </c>
      <c r="E3" s="22" t="n">
        <v>1960.40808854893</v>
      </c>
      <c r="F3" s="21" t="n">
        <v>5.23963795764792</v>
      </c>
      <c r="G3" s="21" t="n">
        <v>0.468168547481475</v>
      </c>
    </row>
    <row r="4" customFormat="false" ht="15" hidden="false" customHeight="false" outlineLevel="0" collapsed="false">
      <c r="A4" s="18" t="s">
        <v>27</v>
      </c>
      <c r="B4" s="19" t="n">
        <v>2020</v>
      </c>
      <c r="C4" s="20" t="n">
        <v>100657505750.545</v>
      </c>
      <c r="D4" s="21" t="n">
        <v>-0.272766327438816</v>
      </c>
      <c r="E4" s="22" t="n">
        <v>1927.66459027849</v>
      </c>
      <c r="F4" s="21" t="n">
        <v>5.40516207933392</v>
      </c>
      <c r="G4" s="21" t="n">
        <v>-0.00536845439351621</v>
      </c>
    </row>
    <row r="5" customFormat="false" ht="15" hidden="false" customHeight="false" outlineLevel="0" collapsed="false">
      <c r="A5" s="18" t="s">
        <v>27</v>
      </c>
      <c r="B5" s="19" t="n">
        <v>2021</v>
      </c>
      <c r="C5" s="20" t="n">
        <v>109703658904.994</v>
      </c>
      <c r="D5" s="21" t="n">
        <v>7.59048947333467</v>
      </c>
      <c r="E5" s="22" t="n">
        <v>2061.35622089594</v>
      </c>
      <c r="F5" s="21" t="n">
        <v>6.10793603659176</v>
      </c>
      <c r="G5" s="21" t="n">
        <v>0.382593996518954</v>
      </c>
    </row>
    <row r="6" customFormat="false" ht="15" hidden="false" customHeight="false" outlineLevel="0" collapsed="false">
      <c r="A6" s="18" t="s">
        <v>27</v>
      </c>
      <c r="B6" s="19" t="n">
        <v>2022</v>
      </c>
      <c r="C6" s="20" t="n">
        <v>114448978152.637</v>
      </c>
      <c r="D6" s="21" t="n">
        <v>4.85998104287999</v>
      </c>
      <c r="E6" s="22" t="n">
        <v>2109.56288513137</v>
      </c>
      <c r="F6" s="21" t="n">
        <v>7.65986268272224</v>
      </c>
      <c r="G6" s="21" t="n">
        <v>0.691645983068062</v>
      </c>
    </row>
    <row r="7" customFormat="false" ht="15" hidden="false" customHeight="false" outlineLevel="0" collapsed="false">
      <c r="A7" s="18" t="s">
        <v>27</v>
      </c>
      <c r="B7" s="19" t="n">
        <v>2023</v>
      </c>
      <c r="C7" s="20" t="n">
        <v>107500884685.013</v>
      </c>
      <c r="D7" s="21" t="n">
        <v>5.71999241214208</v>
      </c>
      <c r="E7" s="22" t="n">
        <v>1942.58802756191</v>
      </c>
      <c r="F7" s="21" t="n">
        <v>7.67139634029402</v>
      </c>
      <c r="G7" s="21" t="n">
        <v>0.472521238226254</v>
      </c>
    </row>
    <row r="8" customFormat="false" ht="15" hidden="false" customHeight="false" outlineLevel="0" collapsed="false">
      <c r="A8" s="18" t="s">
        <v>27</v>
      </c>
      <c r="B8" s="19" t="n">
        <v>2024</v>
      </c>
      <c r="C8" s="20" t="n">
        <v>120397537849.826</v>
      </c>
      <c r="D8" s="21" t="n">
        <v>4.66019594571891</v>
      </c>
      <c r="E8" s="22" t="n">
        <v>2133.46193404026</v>
      </c>
      <c r="F8" s="21" t="n">
        <v>4.48978854243448</v>
      </c>
      <c r="G8" s="21" t="n">
        <v>0.384924569449646</v>
      </c>
    </row>
    <row r="9" customFormat="false" ht="15" hidden="false" customHeight="false" outlineLevel="0" collapsed="false">
      <c r="A9" s="18" t="s">
        <v>28</v>
      </c>
      <c r="B9" s="19" t="n">
        <v>2019</v>
      </c>
      <c r="C9" s="20" t="n">
        <v>61026731925.9213</v>
      </c>
      <c r="D9" s="21" t="n">
        <v>5.79999999996723</v>
      </c>
      <c r="E9" s="22" t="n">
        <v>1063.32250976563</v>
      </c>
      <c r="F9" s="21" t="n">
        <v>3.46428057999021</v>
      </c>
      <c r="G9" s="21" t="n">
        <v>1.99459353959393</v>
      </c>
    </row>
    <row r="10" customFormat="false" ht="15" hidden="false" customHeight="false" outlineLevel="0" collapsed="false">
      <c r="A10" s="18" t="s">
        <v>28</v>
      </c>
      <c r="B10" s="19" t="n">
        <v>2020</v>
      </c>
      <c r="C10" s="20" t="n">
        <v>66068737786.0639</v>
      </c>
      <c r="D10" s="21" t="n">
        <v>1.99196460647855</v>
      </c>
      <c r="E10" s="22" t="n">
        <v>1117.41528320313</v>
      </c>
      <c r="F10" s="21" t="n">
        <v>3.29029062798325</v>
      </c>
      <c r="G10" s="21" t="n">
        <v>1.42845965174632</v>
      </c>
    </row>
    <row r="11" customFormat="false" ht="15" hidden="false" customHeight="false" outlineLevel="0" collapsed="false">
      <c r="A11" s="18" t="s">
        <v>28</v>
      </c>
      <c r="B11" s="19" t="n">
        <v>2021</v>
      </c>
      <c r="C11" s="20" t="n">
        <v>70655628147.8986</v>
      </c>
      <c r="D11" s="21" t="n">
        <v>4.32138429480482</v>
      </c>
      <c r="E11" s="22" t="n">
        <v>1159.85656738281</v>
      </c>
      <c r="F11" s="21" t="n">
        <v>3.69091958802199</v>
      </c>
      <c r="G11" s="21" t="n">
        <v>1.68494347865961</v>
      </c>
    </row>
    <row r="12" customFormat="false" ht="15" hidden="false" customHeight="false" outlineLevel="0" collapsed="false">
      <c r="A12" s="18" t="s">
        <v>28</v>
      </c>
      <c r="B12" s="19" t="n">
        <v>2022</v>
      </c>
      <c r="C12" s="20" t="n">
        <v>75749121846.9703</v>
      </c>
      <c r="D12" s="21" t="n">
        <v>4.56600576430955</v>
      </c>
      <c r="E12" s="22" t="n">
        <v>1207.52062988281</v>
      </c>
      <c r="F12" s="21" t="n">
        <v>4.35027204269101</v>
      </c>
      <c r="G12" s="21" t="n">
        <v>1.89781100350604</v>
      </c>
    </row>
    <row r="13" customFormat="false" ht="15" hidden="false" customHeight="false" outlineLevel="0" collapsed="false">
      <c r="A13" s="18" t="s">
        <v>28</v>
      </c>
      <c r="B13" s="19" t="n">
        <v>2023</v>
      </c>
      <c r="C13" s="20" t="n">
        <v>79030935638.1317</v>
      </c>
      <c r="D13" s="21" t="n">
        <v>5.06952353203394</v>
      </c>
      <c r="E13" s="22" t="n">
        <v>1224.00219726563</v>
      </c>
      <c r="F13" s="21" t="n">
        <v>3.79923291384916</v>
      </c>
      <c r="G13" s="21" t="n">
        <v>2.08641570922927</v>
      </c>
    </row>
    <row r="14" customFormat="false" ht="15" hidden="false" customHeight="false" outlineLevel="0" collapsed="false">
      <c r="A14" s="18" t="s">
        <v>28</v>
      </c>
      <c r="B14" s="19" t="n">
        <v>2024</v>
      </c>
      <c r="C14" s="20" t="n">
        <v>79235713444.9777</v>
      </c>
      <c r="D14" s="21" t="n">
        <v>5.5263138305945</v>
      </c>
      <c r="E14" s="22" t="n">
        <v>1192.60668945313</v>
      </c>
      <c r="F14" s="21" t="n">
        <v>3.05694676312373</v>
      </c>
      <c r="G14" s="21" t="n">
        <v>2.16767805172059</v>
      </c>
    </row>
    <row r="15" customFormat="false" ht="15" hidden="false" customHeight="false" outlineLevel="0" collapsed="false">
      <c r="A15" s="18" t="s">
        <v>29</v>
      </c>
      <c r="B15" s="19" t="n">
        <v>2019</v>
      </c>
      <c r="C15" s="20" t="n">
        <v>35353061003.4359</v>
      </c>
      <c r="D15" s="21" t="n">
        <v>6.43874503276439</v>
      </c>
      <c r="E15" s="22" t="n">
        <v>822.171150036357</v>
      </c>
      <c r="F15" s="21" t="n">
        <v>2.867588034469</v>
      </c>
      <c r="G15" s="21" t="n">
        <v>3.68569218154174</v>
      </c>
    </row>
    <row r="16" customFormat="false" ht="15" hidden="false" customHeight="false" outlineLevel="0" collapsed="false">
      <c r="A16" s="18" t="s">
        <v>29</v>
      </c>
      <c r="B16" s="19" t="n">
        <v>2020</v>
      </c>
      <c r="C16" s="20" t="n">
        <v>37600368241.6657</v>
      </c>
      <c r="D16" s="21" t="n">
        <v>2.95130642218098</v>
      </c>
      <c r="E16" s="22" t="n">
        <v>845.766463890124</v>
      </c>
      <c r="F16" s="21" t="n">
        <v>3.31332289544502</v>
      </c>
      <c r="G16" s="21" t="n">
        <v>3.16881317773755</v>
      </c>
    </row>
    <row r="17" customFormat="false" ht="15" hidden="false" customHeight="false" outlineLevel="0" collapsed="false">
      <c r="A17" s="18" t="s">
        <v>29</v>
      </c>
      <c r="B17" s="19" t="n">
        <v>2021</v>
      </c>
      <c r="C17" s="20" t="n">
        <v>40529788748.6737</v>
      </c>
      <c r="D17" s="21" t="n">
        <v>3.53658034070898</v>
      </c>
      <c r="E17" s="22" t="n">
        <v>882.791717542504</v>
      </c>
      <c r="F17" s="21" t="n">
        <v>2.20457204757414</v>
      </c>
      <c r="G17" s="21" t="n">
        <v>4.06673785760736</v>
      </c>
    </row>
    <row r="18" customFormat="false" ht="15" hidden="false" customHeight="false" outlineLevel="0" collapsed="false">
      <c r="A18" s="18" t="s">
        <v>29</v>
      </c>
      <c r="B18" s="19" t="n">
        <v>2022</v>
      </c>
      <c r="C18" s="20" t="n">
        <v>45565333210.9108</v>
      </c>
      <c r="D18" s="21" t="n">
        <v>4.58802192181773</v>
      </c>
      <c r="E18" s="22" t="n">
        <v>963.067314117178</v>
      </c>
      <c r="F18" s="21" t="n">
        <v>7.1957888597581</v>
      </c>
      <c r="G18" s="21" t="n">
        <v>6.48067616265599</v>
      </c>
    </row>
    <row r="19" customFormat="false" ht="15" hidden="false" customHeight="false" outlineLevel="0" collapsed="false">
      <c r="A19" s="18" t="s">
        <v>29</v>
      </c>
      <c r="B19" s="19" t="n">
        <v>2023</v>
      </c>
      <c r="C19" s="20" t="n">
        <v>48768955863.3175</v>
      </c>
      <c r="D19" s="21" t="n">
        <v>5.33697295511469</v>
      </c>
      <c r="E19" s="22" t="n">
        <v>1002.30913917142</v>
      </c>
      <c r="F19" s="21" t="n">
        <v>5.35094804280395</v>
      </c>
      <c r="G19" s="21" t="n">
        <v>6.13816501913594</v>
      </c>
    </row>
    <row r="20" customFormat="false" ht="15" hidden="false" customHeight="false" outlineLevel="0" collapsed="false">
      <c r="A20" s="18" t="s">
        <v>29</v>
      </c>
      <c r="B20" s="19" t="n">
        <v>2024</v>
      </c>
      <c r="C20" s="20" t="n">
        <v>53911907079.0485</v>
      </c>
      <c r="D20" s="21" t="n">
        <v>6.05558075875589</v>
      </c>
      <c r="E20" s="22" t="n">
        <v>1077.91278438613</v>
      </c>
      <c r="F20" s="21" t="n">
        <v>3.32338033691819</v>
      </c>
      <c r="G20" s="21" t="n">
        <v>6.04170465908871</v>
      </c>
    </row>
    <row r="21" customFormat="false" ht="15" hidden="false" customHeight="false" outlineLevel="0" collapsed="false">
      <c r="A21" s="18" t="s">
        <v>30</v>
      </c>
      <c r="B21" s="19" t="n">
        <v>2019</v>
      </c>
      <c r="C21" s="20" t="n">
        <v>10519272170.3346</v>
      </c>
      <c r="D21" s="21" t="n">
        <v>9.28613387454543</v>
      </c>
      <c r="E21" s="22" t="n">
        <v>823.355304065304</v>
      </c>
      <c r="F21" s="21" t="n">
        <v>3.34787655037648</v>
      </c>
      <c r="G21" s="21" t="n">
        <v>2.50181125622142</v>
      </c>
    </row>
    <row r="22" customFormat="false" ht="15" hidden="false" customHeight="false" outlineLevel="0" collapsed="false">
      <c r="A22" s="18" t="s">
        <v>30</v>
      </c>
      <c r="B22" s="19" t="n">
        <v>2020</v>
      </c>
      <c r="C22" s="20" t="n">
        <v>10487146253.4025</v>
      </c>
      <c r="D22" s="21" t="n">
        <v>-2.77710485515125</v>
      </c>
      <c r="E22" s="22" t="n">
        <v>802.638686936204</v>
      </c>
      <c r="F22" s="21" t="n">
        <v>9.85039902274207</v>
      </c>
      <c r="G22" s="21" t="n">
        <v>1.45524928576719</v>
      </c>
    </row>
    <row r="23" customFormat="false" ht="15" hidden="false" customHeight="false" outlineLevel="0" collapsed="false">
      <c r="A23" s="18" t="s">
        <v>30</v>
      </c>
      <c r="B23" s="19" t="n">
        <v>2021</v>
      </c>
      <c r="C23" s="20" t="n">
        <v>11252894909.5043</v>
      </c>
      <c r="D23" s="21" t="n">
        <v>8.41140448646523</v>
      </c>
      <c r="E23" s="22" t="n">
        <v>842.581492947672</v>
      </c>
      <c r="F23" s="21" t="n">
        <v>-0.391346748300791</v>
      </c>
      <c r="G23" s="21" t="n">
        <v>2.07399909664917</v>
      </c>
    </row>
    <row r="24" customFormat="false" ht="15" hidden="false" customHeight="false" outlineLevel="0" collapsed="false">
      <c r="A24" s="18" t="s">
        <v>30</v>
      </c>
      <c r="B24" s="19" t="n">
        <v>2022</v>
      </c>
      <c r="C24" s="20" t="n">
        <v>13747404814.2677</v>
      </c>
      <c r="D24" s="21" t="n">
        <v>9.82497394651698</v>
      </c>
      <c r="E24" s="22" t="n">
        <v>1007.05989322914</v>
      </c>
      <c r="F24" s="21" t="n">
        <v>17.6892095588153</v>
      </c>
      <c r="G24" s="21" t="n">
        <v>2.21934152301495</v>
      </c>
    </row>
    <row r="25" customFormat="false" ht="15" hidden="false" customHeight="false" outlineLevel="0" collapsed="false">
      <c r="A25" s="18" t="s">
        <v>30</v>
      </c>
      <c r="B25" s="19" t="n">
        <v>2023</v>
      </c>
      <c r="C25" s="20" t="n">
        <v>14806501437.282</v>
      </c>
      <c r="D25" s="21" t="n">
        <v>8.55964292914153</v>
      </c>
      <c r="E25" s="22" t="n">
        <v>1061.05788154076</v>
      </c>
      <c r="F25" s="21" t="n">
        <v>19.789546746467</v>
      </c>
      <c r="G25" s="21" t="n">
        <v>3.09083144958541</v>
      </c>
    </row>
    <row r="26" customFormat="false" ht="15" hidden="false" customHeight="false" outlineLevel="0" collapsed="false">
      <c r="A26" s="18" t="s">
        <v>30</v>
      </c>
      <c r="B26" s="19" t="n">
        <v>2024</v>
      </c>
      <c r="C26" s="20" t="n">
        <v>15111064181.9687</v>
      </c>
      <c r="D26" s="21" t="n">
        <v>7.22717103344534</v>
      </c>
      <c r="E26" s="22" t="n">
        <v>1059.93709298801</v>
      </c>
      <c r="F26" s="21" t="n">
        <v>1.77029240198635</v>
      </c>
      <c r="G26" s="21" t="n">
        <v>3.79145567191588</v>
      </c>
    </row>
    <row r="27" customFormat="false" ht="15" hidden="false" customHeight="false" outlineLevel="0" collapsed="false">
      <c r="A27" s="18" t="s">
        <v>31</v>
      </c>
      <c r="B27" s="19" t="n">
        <v>2019</v>
      </c>
      <c r="C27" s="20" t="n">
        <v>91834517113.6386</v>
      </c>
      <c r="D27" s="21" t="n">
        <v>8.36408573111346</v>
      </c>
      <c r="E27" s="22" t="n">
        <v>793.473247218996</v>
      </c>
      <c r="F27" s="21" t="n">
        <v>15.8096321719344</v>
      </c>
      <c r="G27" s="21" t="n">
        <v>2.77536541538477</v>
      </c>
    </row>
    <row r="28" customFormat="false" ht="15" hidden="false" customHeight="false" outlineLevel="0" collapsed="false">
      <c r="A28" s="18" t="s">
        <v>31</v>
      </c>
      <c r="B28" s="19" t="n">
        <v>2020</v>
      </c>
      <c r="C28" s="20" t="n">
        <v>98676811061.9985</v>
      </c>
      <c r="D28" s="21" t="n">
        <v>6.05953089248577</v>
      </c>
      <c r="E28" s="22" t="n">
        <v>829.790982552951</v>
      </c>
      <c r="F28" s="21" t="n">
        <v>20.3563468559061</v>
      </c>
      <c r="G28" s="21" t="n">
        <v>2.4279259279615</v>
      </c>
    </row>
    <row r="29" customFormat="false" ht="15" hidden="false" customHeight="false" outlineLevel="0" collapsed="false">
      <c r="A29" s="18" t="s">
        <v>31</v>
      </c>
      <c r="B29" s="19" t="n">
        <v>2021</v>
      </c>
      <c r="C29" s="20" t="n">
        <v>109070960370.972</v>
      </c>
      <c r="D29" s="21" t="n">
        <v>5.64153069324176</v>
      </c>
      <c r="E29" s="22" t="n">
        <v>893.009835441784</v>
      </c>
      <c r="F29" s="21" t="n">
        <v>26.8395221557722</v>
      </c>
      <c r="G29" s="21" t="n">
        <v>3.90520609775086</v>
      </c>
    </row>
    <row r="30" customFormat="false" ht="15" hidden="false" customHeight="false" outlineLevel="0" collapsed="false">
      <c r="A30" s="18" t="s">
        <v>31</v>
      </c>
      <c r="B30" s="19" t="n">
        <v>2022</v>
      </c>
      <c r="C30" s="20" t="n">
        <v>123140304665.399</v>
      </c>
      <c r="D30" s="21" t="n">
        <v>5.32175988485454</v>
      </c>
      <c r="E30" s="22" t="n">
        <v>982.103161502198</v>
      </c>
      <c r="F30" s="21" t="n">
        <v>33.8898797100898</v>
      </c>
      <c r="G30" s="21" t="n">
        <v>2.98033315911234</v>
      </c>
    </row>
    <row r="31" customFormat="false" ht="15" hidden="false" customHeight="false" outlineLevel="0" collapsed="false">
      <c r="A31" s="18" t="s">
        <v>31</v>
      </c>
      <c r="B31" s="19" t="n">
        <v>2023</v>
      </c>
      <c r="C31" s="20" t="n">
        <v>135874093203.18</v>
      </c>
      <c r="D31" s="21" t="n">
        <v>6.59424599054353</v>
      </c>
      <c r="E31" s="22" t="n">
        <v>1055.81091593061</v>
      </c>
      <c r="F31" s="21" t="n">
        <v>30.2188278135278</v>
      </c>
      <c r="G31" s="21" t="n">
        <v>2.40146315356828</v>
      </c>
    </row>
    <row r="32" customFormat="false" ht="15" hidden="false" customHeight="false" outlineLevel="0" collapsed="false">
      <c r="A32" s="18" t="s">
        <v>31</v>
      </c>
      <c r="B32" s="19" t="n">
        <v>2024</v>
      </c>
      <c r="C32" s="20" t="n">
        <v>149740297952.375</v>
      </c>
      <c r="D32" s="21" t="n">
        <v>7.61277447616879</v>
      </c>
      <c r="E32" s="22" t="n">
        <v>1133.88279681256</v>
      </c>
      <c r="F32" s="21" t="n">
        <v>21.0377460577711</v>
      </c>
      <c r="G32" s="21" t="n">
        <v>2.68582028017543</v>
      </c>
    </row>
    <row r="33" customFormat="false" ht="15" hidden="false" customHeight="false" outlineLevel="0" collapsed="false">
      <c r="A33" s="18" t="s">
        <v>32</v>
      </c>
      <c r="B33" s="19" t="n">
        <v>2019</v>
      </c>
      <c r="C33" s="20" t="n">
        <v>433926218686.108</v>
      </c>
      <c r="D33" s="21" t="n">
        <v>1.27129120536284</v>
      </c>
      <c r="E33" s="22" t="n">
        <v>45938.6084572227</v>
      </c>
      <c r="F33" s="21" t="n">
        <v>-1.93108114782173</v>
      </c>
      <c r="G33" s="21" t="n">
        <v>4.11928554446951</v>
      </c>
    </row>
    <row r="34" customFormat="false" ht="15" hidden="false" customHeight="false" outlineLevel="0" collapsed="false">
      <c r="A34" s="18" t="s">
        <v>32</v>
      </c>
      <c r="B34" s="19" t="n">
        <v>2020</v>
      </c>
      <c r="C34" s="20" t="n">
        <v>357161776271.328</v>
      </c>
      <c r="D34" s="21" t="n">
        <v>-8.69343363776639</v>
      </c>
      <c r="E34" s="22" t="n">
        <v>37991.738387966</v>
      </c>
      <c r="F34" s="21" t="n">
        <v>-2.07940317940944</v>
      </c>
      <c r="G34" s="21" t="n">
        <v>5.56735667729859</v>
      </c>
    </row>
    <row r="35" customFormat="false" ht="15" hidden="false" customHeight="false" outlineLevel="0" collapsed="false">
      <c r="A35" s="18" t="s">
        <v>32</v>
      </c>
      <c r="B35" s="19" t="n">
        <v>2021</v>
      </c>
      <c r="C35" s="20" t="n">
        <v>422441282436.237</v>
      </c>
      <c r="D35" s="21" t="n">
        <v>4.55280140106356</v>
      </c>
      <c r="E35" s="22" t="n">
        <v>44118.4936214315</v>
      </c>
      <c r="F35" s="21" t="n">
        <v>0.179935336174431</v>
      </c>
      <c r="G35" s="21" t="n">
        <v>4.89230595097426</v>
      </c>
    </row>
    <row r="36" customFormat="false" ht="15" hidden="false" customHeight="false" outlineLevel="0" collapsed="false">
      <c r="A36" s="18" t="s">
        <v>32</v>
      </c>
      <c r="B36" s="19" t="n">
        <v>2022</v>
      </c>
      <c r="C36" s="20" t="n">
        <v>511403404642.173</v>
      </c>
      <c r="D36" s="21" t="n">
        <v>7.51452414254605</v>
      </c>
      <c r="E36" s="22" t="n">
        <v>50759.7590190204</v>
      </c>
      <c r="F36" s="21" t="n">
        <v>5.29122604376849</v>
      </c>
      <c r="G36" s="21" t="n">
        <v>4.44591398367961</v>
      </c>
    </row>
    <row r="37" customFormat="false" ht="15" hidden="false" customHeight="false" outlineLevel="0" collapsed="false">
      <c r="A37" s="18" t="s">
        <v>32</v>
      </c>
      <c r="B37" s="19" t="n">
        <v>2023</v>
      </c>
      <c r="C37" s="20" t="n">
        <v>522622268401.125</v>
      </c>
      <c r="D37" s="21" t="n">
        <v>4.30113648499413</v>
      </c>
      <c r="E37" s="22" t="n">
        <v>49850.6945082084</v>
      </c>
      <c r="F37" s="21" t="n">
        <v>1.62670837213248</v>
      </c>
      <c r="G37" s="21" t="n">
        <v>5.87183983564899</v>
      </c>
    </row>
    <row r="38" customFormat="false" ht="15" hidden="false" customHeight="false" outlineLevel="0" collapsed="false">
      <c r="A38" s="18" t="s">
        <v>32</v>
      </c>
      <c r="B38" s="19" t="n">
        <v>2024</v>
      </c>
      <c r="C38" s="20" t="n">
        <v>552324919095.872</v>
      </c>
      <c r="D38" s="21" t="n">
        <v>3.99181200361831</v>
      </c>
      <c r="E38" s="22" t="n">
        <v>50273.5126243239</v>
      </c>
      <c r="F38" s="21" t="n">
        <v>1.66336510224894</v>
      </c>
      <c r="G38" s="21" t="n">
        <v>8.26261604873876</v>
      </c>
    </row>
    <row r="39" customFormat="false" ht="15" hidden="false" customHeight="false" outlineLevel="0" collapsed="false">
      <c r="A39" s="18" t="s">
        <v>33</v>
      </c>
      <c r="B39" s="19" t="n">
        <v>2019</v>
      </c>
      <c r="C39" s="20" t="n">
        <v>2871555326.31029</v>
      </c>
      <c r="D39" s="21" t="n">
        <v>4.45934202358784</v>
      </c>
      <c r="E39" s="22" t="n">
        <v>234.31061590725</v>
      </c>
      <c r="F39" s="21" t="n">
        <v>-0.686772170797359</v>
      </c>
      <c r="G39" s="21" t="n">
        <v>1.05451097508345</v>
      </c>
    </row>
    <row r="40" customFormat="false" ht="15" hidden="false" customHeight="false" outlineLevel="0" collapsed="false">
      <c r="A40" s="18" t="s">
        <v>33</v>
      </c>
      <c r="B40" s="19" t="n">
        <v>2020</v>
      </c>
      <c r="C40" s="20" t="n">
        <v>3188355943.63513</v>
      </c>
      <c r="D40" s="21" t="n">
        <v>0.306443811651718</v>
      </c>
      <c r="E40" s="22" t="n">
        <v>252.702452750006</v>
      </c>
      <c r="F40" s="21" t="n">
        <v>7.32110643415521</v>
      </c>
      <c r="G40" s="21" t="n">
        <v>0.66481142584294</v>
      </c>
    </row>
    <row r="41" customFormat="false" ht="15" hidden="false" customHeight="false" outlineLevel="0" collapsed="false">
      <c r="A41" s="18" t="s">
        <v>33</v>
      </c>
      <c r="B41" s="19" t="n">
        <v>2021</v>
      </c>
      <c r="C41" s="20" t="n">
        <v>3425127990.70519</v>
      </c>
      <c r="D41" s="21" t="n">
        <v>3.23707479372925</v>
      </c>
      <c r="E41" s="22" t="n">
        <v>264.172844085398</v>
      </c>
      <c r="F41" s="21" t="n">
        <v>8.40453845076341</v>
      </c>
      <c r="G41" s="21" t="n">
        <v>0.652577753652764</v>
      </c>
    </row>
    <row r="42" customFormat="false" ht="15" hidden="false" customHeight="false" outlineLevel="0" collapsed="false">
      <c r="A42" s="18" t="s">
        <v>33</v>
      </c>
      <c r="B42" s="19" t="n">
        <v>2022</v>
      </c>
      <c r="C42" s="20" t="n">
        <v>4020736756.64256</v>
      </c>
      <c r="D42" s="21" t="n">
        <v>2.31770122350822</v>
      </c>
      <c r="E42" s="22" t="n">
        <v>301.832255755105</v>
      </c>
      <c r="F42" s="21" t="n">
        <v>18.8008786664945</v>
      </c>
      <c r="G42" s="21" t="n">
        <v>0.627981649090288</v>
      </c>
    </row>
    <row r="43" customFormat="false" ht="15" hidden="false" customHeight="false" outlineLevel="0" collapsed="false">
      <c r="A43" s="18" t="s">
        <v>33</v>
      </c>
      <c r="B43" s="19" t="n">
        <v>2023</v>
      </c>
      <c r="C43" s="20" t="n">
        <v>3419558408.35408</v>
      </c>
      <c r="D43" s="21" t="n">
        <v>3.25476897326196</v>
      </c>
      <c r="E43" s="22" t="n">
        <v>249.795164039029</v>
      </c>
      <c r="F43" s="21" t="n">
        <v>26.9414835762453</v>
      </c>
      <c r="G43" s="21" t="n">
        <v>0.9942604776831</v>
      </c>
    </row>
    <row r="44" customFormat="false" ht="15" hidden="false" customHeight="false" outlineLevel="0" collapsed="false">
      <c r="A44" s="18" t="s">
        <v>33</v>
      </c>
      <c r="B44" s="19" t="n">
        <v>2024</v>
      </c>
      <c r="C44" s="20" t="n">
        <v>3037579858.38142</v>
      </c>
      <c r="D44" s="21" t="n">
        <v>4.11227376394912</v>
      </c>
      <c r="E44" s="22" t="n">
        <v>216.231928531758</v>
      </c>
      <c r="F44" s="21" t="n">
        <v>20.2124925027847</v>
      </c>
      <c r="G44" s="21" t="n">
        <v>1.0970222856868</v>
      </c>
    </row>
    <row r="45" customFormat="false" ht="15" hidden="false" customHeight="false" outlineLevel="0" collapsed="false">
      <c r="A45" s="18" t="s">
        <v>34</v>
      </c>
      <c r="B45" s="19" t="n">
        <v>2019</v>
      </c>
      <c r="C45" s="20" t="n">
        <v>1195019531.9011</v>
      </c>
      <c r="D45" s="21" t="n">
        <v>1.76078023564568</v>
      </c>
      <c r="E45" s="22" t="n">
        <v>1519.26386436068</v>
      </c>
      <c r="F45" s="21" t="n">
        <v>3.58213544469211</v>
      </c>
      <c r="G45" s="21" t="n">
        <v>0.359894031144375</v>
      </c>
    </row>
    <row r="46" customFormat="false" ht="15" hidden="false" customHeight="false" outlineLevel="0" collapsed="false">
      <c r="A46" s="18" t="s">
        <v>34</v>
      </c>
      <c r="B46" s="19" t="n">
        <v>2020</v>
      </c>
      <c r="C46" s="20" t="n">
        <v>1225039196.61091</v>
      </c>
      <c r="D46" s="21" t="n">
        <v>-0.195556841918759</v>
      </c>
      <c r="E46" s="22" t="n">
        <v>1527.16991011916</v>
      </c>
      <c r="F46" s="21" t="n">
        <v>0.786641929499151</v>
      </c>
      <c r="G46" s="21" t="n">
        <v>0.316385474955504</v>
      </c>
    </row>
    <row r="47" customFormat="false" ht="15" hidden="false" customHeight="false" outlineLevel="0" collapsed="false">
      <c r="A47" s="18" t="s">
        <v>34</v>
      </c>
      <c r="B47" s="19" t="n">
        <v>2021</v>
      </c>
      <c r="C47" s="20" t="n">
        <v>1299039312.22277</v>
      </c>
      <c r="D47" s="21" t="n">
        <v>2.04245238320844</v>
      </c>
      <c r="E47" s="22" t="n">
        <v>1587.72988658008</v>
      </c>
      <c r="F47" s="21" t="n">
        <v>-0.00441793682346988</v>
      </c>
      <c r="G47" s="21" t="n">
        <v>0.309826819264342</v>
      </c>
    </row>
    <row r="48" customFormat="false" ht="15" hidden="false" customHeight="false" outlineLevel="0" collapsed="false">
      <c r="A48" s="18" t="s">
        <v>34</v>
      </c>
      <c r="B48" s="19" t="n">
        <v>2022</v>
      </c>
      <c r="C48" s="20" t="n">
        <v>1279542248.96288</v>
      </c>
      <c r="D48" s="21" t="n">
        <v>2.45381174550259</v>
      </c>
      <c r="E48" s="22" t="n">
        <v>1533.87755393614</v>
      </c>
      <c r="F48" s="21" t="n">
        <v>12.5320314570999</v>
      </c>
      <c r="G48" s="21" t="n">
        <v>0.322667538233799</v>
      </c>
    </row>
    <row r="49" customFormat="false" ht="15" hidden="false" customHeight="false" outlineLevel="0" collapsed="false">
      <c r="A49" s="18" t="s">
        <v>34</v>
      </c>
      <c r="B49" s="19" t="n">
        <v>2023</v>
      </c>
      <c r="C49" s="20" t="n">
        <v>1465977684.31307</v>
      </c>
      <c r="D49" s="21" t="n">
        <v>3.1866131800554</v>
      </c>
      <c r="E49" s="22" t="n">
        <v>1723.89474946474</v>
      </c>
      <c r="F49" s="21" t="n">
        <v>8.37373955490996</v>
      </c>
      <c r="G49" s="21" t="n">
        <v>0.365132085679526</v>
      </c>
    </row>
    <row r="50" customFormat="false" ht="15" hidden="false" customHeight="false" outlineLevel="0" collapsed="false">
      <c r="A50" s="18" t="s">
        <v>34</v>
      </c>
      <c r="B50" s="19" t="n">
        <v>2024</v>
      </c>
      <c r="C50" s="20" t="n">
        <v>1610082688.26617</v>
      </c>
      <c r="D50" s="21" t="n">
        <v>3.30071498500033</v>
      </c>
      <c r="E50" s="22" t="n">
        <v>1857.87060684189</v>
      </c>
      <c r="F50" s="21" t="n">
        <v>5.05192609588218</v>
      </c>
      <c r="G50" s="21" t="n">
        <v>0.440971140907408</v>
      </c>
    </row>
    <row r="51" customFormat="false" ht="15" hidden="false" customHeight="false" outlineLevel="0" collapsed="false">
      <c r="A51" s="18" t="s">
        <v>35</v>
      </c>
      <c r="B51" s="19" t="n">
        <v>2019</v>
      </c>
      <c r="C51" s="20" t="n">
        <v>3088851450.30694</v>
      </c>
      <c r="D51" s="21" t="n">
        <v>5.54508081154978</v>
      </c>
      <c r="E51" s="22" t="n">
        <v>2837.16902340932</v>
      </c>
      <c r="F51" s="21" t="n">
        <v>3.31763203299603</v>
      </c>
      <c r="G51" s="21" t="n">
        <v>5.66550441566635</v>
      </c>
    </row>
    <row r="52" customFormat="false" ht="15" hidden="false" customHeight="false" outlineLevel="0" collapsed="false">
      <c r="A52" s="18" t="s">
        <v>35</v>
      </c>
      <c r="B52" s="19" t="n">
        <v>2020</v>
      </c>
      <c r="C52" s="20" t="n">
        <v>3144136196.6228</v>
      </c>
      <c r="D52" s="21" t="n">
        <v>1.2021151728969</v>
      </c>
      <c r="E52" s="22" t="n">
        <v>2844.88810647853</v>
      </c>
      <c r="F52" s="21" t="n">
        <v>1.77900535643955</v>
      </c>
      <c r="G52" s="21" t="n">
        <v>5.03254315668511</v>
      </c>
    </row>
    <row r="53" customFormat="false" ht="15" hidden="false" customHeight="false" outlineLevel="0" collapsed="false">
      <c r="A53" s="18" t="s">
        <v>35</v>
      </c>
      <c r="B53" s="19" t="n">
        <v>2021</v>
      </c>
      <c r="C53" s="20" t="n">
        <v>3392796953.08939</v>
      </c>
      <c r="D53" s="21" t="n">
        <v>4.40715667561153</v>
      </c>
      <c r="E53" s="22" t="n">
        <v>3025.91126413549</v>
      </c>
      <c r="F53" s="21" t="n">
        <v>1.18086783934059</v>
      </c>
      <c r="G53" s="21" t="n">
        <v>4.91482788768696</v>
      </c>
    </row>
    <row r="54" customFormat="false" ht="15" hidden="false" customHeight="false" outlineLevel="0" collapsed="false">
      <c r="A54" s="18" t="s">
        <v>35</v>
      </c>
      <c r="B54" s="19" t="n">
        <v>2022</v>
      </c>
      <c r="C54" s="20" t="n">
        <v>3562814908.76149</v>
      </c>
      <c r="D54" s="21" t="n">
        <v>5.16653702854374</v>
      </c>
      <c r="E54" s="22" t="n">
        <v>3133.25779772463</v>
      </c>
      <c r="F54" s="21" t="n">
        <v>5.17222088647606</v>
      </c>
      <c r="G54" s="21" t="n">
        <v>5.24930012962196</v>
      </c>
    </row>
    <row r="55" customFormat="false" ht="15" hidden="false" customHeight="false" outlineLevel="0" collapsed="false">
      <c r="A55" s="18" t="s">
        <v>35</v>
      </c>
      <c r="B55" s="19" t="n">
        <v>2023</v>
      </c>
      <c r="C55" s="20" t="n">
        <v>3898447007.38798</v>
      </c>
      <c r="D55" s="21" t="n">
        <v>6.80733529403308</v>
      </c>
      <c r="E55" s="22" t="n">
        <v>3381.29779710722</v>
      </c>
      <c r="F55" s="21" t="n">
        <v>1.44905087029086</v>
      </c>
      <c r="G55" s="21" t="n">
        <v>3.51446231641349</v>
      </c>
    </row>
    <row r="56" customFormat="false" ht="15" hidden="false" customHeight="false" outlineLevel="0" collapsed="false">
      <c r="A56" s="18" t="s">
        <v>35</v>
      </c>
      <c r="B56" s="19" t="n">
        <v>2024</v>
      </c>
      <c r="C56" s="20" t="n">
        <v>4152145939.98458</v>
      </c>
      <c r="D56" s="21" t="n">
        <v>6.98048467276334</v>
      </c>
      <c r="E56" s="22" t="n">
        <v>3552.72335079222</v>
      </c>
      <c r="F56" s="21" t="n">
        <v>2.1120116728497</v>
      </c>
      <c r="G56" s="21" t="n">
        <v>1.63337101411676</v>
      </c>
    </row>
    <row r="57" customFormat="false" ht="15" hidden="false" customHeight="false" outlineLevel="0" collapsed="false">
      <c r="A57" s="18" t="s">
        <v>36</v>
      </c>
      <c r="B57" s="19" t="n">
        <v>2019</v>
      </c>
      <c r="C57" s="20" t="n">
        <v>46845900350.0332</v>
      </c>
      <c r="D57" s="21" t="n">
        <v>0.555384294580819</v>
      </c>
      <c r="E57" s="22" t="n">
        <v>504.00419142286</v>
      </c>
      <c r="F57" s="21"/>
      <c r="G57" s="21" t="n">
        <v>2.88391132652101</v>
      </c>
    </row>
    <row r="58" customFormat="false" ht="15" hidden="false" customHeight="false" outlineLevel="0" collapsed="false">
      <c r="A58" s="18" t="s">
        <v>36</v>
      </c>
      <c r="B58" s="19" t="n">
        <v>2020</v>
      </c>
      <c r="C58" s="20" t="n">
        <v>46691989748.9186</v>
      </c>
      <c r="D58" s="21" t="n">
        <v>0.775427992354622</v>
      </c>
      <c r="E58" s="22" t="n">
        <v>486.425572682256</v>
      </c>
      <c r="F58" s="21"/>
      <c r="G58" s="21" t="n">
        <v>3.20844071096691</v>
      </c>
    </row>
    <row r="59" customFormat="false" ht="15" hidden="false" customHeight="false" outlineLevel="0" collapsed="false">
      <c r="A59" s="18" t="s">
        <v>36</v>
      </c>
      <c r="B59" s="19" t="n">
        <v>2021</v>
      </c>
      <c r="C59" s="20" t="n">
        <v>59067289573.5102</v>
      </c>
      <c r="D59" s="21" t="n">
        <v>6.42961005647355</v>
      </c>
      <c r="E59" s="22" t="n">
        <v>595.743074403567</v>
      </c>
      <c r="F59" s="21"/>
      <c r="G59" s="21" t="n">
        <v>2.84027556004194</v>
      </c>
    </row>
    <row r="60" customFormat="false" ht="15" hidden="false" customHeight="false" outlineLevel="0" collapsed="false">
      <c r="A60" s="18" t="s">
        <v>36</v>
      </c>
      <c r="B60" s="19" t="n">
        <v>2022</v>
      </c>
      <c r="C60" s="20" t="n">
        <v>70422346142.2023</v>
      </c>
      <c r="D60" s="21" t="n">
        <v>9.31116944064918</v>
      </c>
      <c r="E60" s="22" t="n">
        <v>687.738587554685</v>
      </c>
      <c r="F60" s="21"/>
      <c r="G60" s="21" t="n">
        <v>2.00131622839817</v>
      </c>
    </row>
    <row r="61" customFormat="false" ht="15" hidden="false" customHeight="false" outlineLevel="0" collapsed="false">
      <c r="A61" s="18" t="s">
        <v>36</v>
      </c>
      <c r="B61" s="19" t="n">
        <v>2023</v>
      </c>
      <c r="C61" s="20" t="n">
        <v>69843655425.2929</v>
      </c>
      <c r="D61" s="21" t="n">
        <v>8.5334898318451</v>
      </c>
      <c r="E61" s="22" t="n">
        <v>660.21205238997</v>
      </c>
      <c r="F61" s="21"/>
      <c r="G61" s="21" t="n">
        <v>3.40082269757578</v>
      </c>
    </row>
    <row r="62" customFormat="false" ht="15" hidden="false" customHeight="false" outlineLevel="0" collapsed="false">
      <c r="A62" s="18" t="s">
        <v>36</v>
      </c>
      <c r="B62" s="19" t="n">
        <v>2024</v>
      </c>
      <c r="C62" s="20" t="n">
        <v>75716176105.0704</v>
      </c>
      <c r="D62" s="21" t="n">
        <v>6.1025294442863</v>
      </c>
      <c r="E62" s="22" t="n">
        <v>692.887665085098</v>
      </c>
      <c r="F62" s="21"/>
      <c r="G62" s="21" t="n">
        <v>3.84997694352814</v>
      </c>
    </row>
    <row r="63" customFormat="false" ht="15" hidden="false" customHeight="false" outlineLevel="0" collapsed="false">
      <c r="A63" s="18" t="s">
        <v>37</v>
      </c>
      <c r="B63" s="19" t="n">
        <v>2019</v>
      </c>
      <c r="C63" s="20"/>
      <c r="D63" s="21"/>
      <c r="E63" s="22"/>
      <c r="F63" s="21"/>
      <c r="G63" s="21"/>
    </row>
    <row r="64" customFormat="false" ht="15" hidden="false" customHeight="false" outlineLevel="0" collapsed="false">
      <c r="A64" s="18" t="s">
        <v>37</v>
      </c>
      <c r="B64" s="19" t="n">
        <v>2020</v>
      </c>
      <c r="C64" s="20"/>
      <c r="D64" s="21"/>
      <c r="E64" s="22"/>
      <c r="F64" s="21"/>
      <c r="G64" s="21"/>
    </row>
    <row r="65" customFormat="false" ht="15" hidden="false" customHeight="false" outlineLevel="0" collapsed="false">
      <c r="A65" s="18" t="s">
        <v>37</v>
      </c>
      <c r="B65" s="19" t="n">
        <v>2021</v>
      </c>
      <c r="C65" s="20"/>
      <c r="D65" s="21"/>
      <c r="E65" s="22"/>
      <c r="F65" s="21"/>
      <c r="G65" s="21"/>
    </row>
    <row r="66" customFormat="false" ht="15" hidden="false" customHeight="false" outlineLevel="0" collapsed="false">
      <c r="A66" s="18" t="s">
        <v>37</v>
      </c>
      <c r="B66" s="19" t="n">
        <v>2022</v>
      </c>
      <c r="C66" s="20"/>
      <c r="D66" s="21"/>
      <c r="E66" s="22"/>
      <c r="F66" s="21"/>
      <c r="G66" s="21"/>
    </row>
    <row r="67" customFormat="false" ht="15" hidden="false" customHeight="false" outlineLevel="0" collapsed="false">
      <c r="A67" s="18" t="s">
        <v>37</v>
      </c>
      <c r="B67" s="19" t="n">
        <v>2023</v>
      </c>
      <c r="C67" s="20"/>
      <c r="D67" s="21"/>
      <c r="E67" s="22"/>
      <c r="F67" s="21"/>
      <c r="G67" s="21"/>
    </row>
    <row r="68" customFormat="false" ht="15" hidden="false" customHeight="false" outlineLevel="0" collapsed="false">
      <c r="A68" s="18" t="s">
        <v>37</v>
      </c>
      <c r="B68" s="19" t="n">
        <v>2024</v>
      </c>
      <c r="C68" s="20"/>
      <c r="D68" s="21"/>
      <c r="E68" s="22"/>
      <c r="F68" s="21"/>
      <c r="G68" s="21"/>
    </row>
    <row r="69" customFormat="false" ht="15" hidden="false" customHeight="false" outlineLevel="0" collapsed="false">
      <c r="A69" s="18" t="s">
        <v>38</v>
      </c>
      <c r="B69" s="19" t="n">
        <v>2019</v>
      </c>
      <c r="C69" s="20" t="n">
        <v>14104664678.5063</v>
      </c>
      <c r="D69" s="21" t="n">
        <v>4.41123212909589</v>
      </c>
      <c r="E69" s="22" t="n">
        <v>499.818837622534</v>
      </c>
      <c r="F69" s="21" t="n">
        <v>5.61051441492365</v>
      </c>
      <c r="G69" s="21" t="n">
        <v>3.36279830994653</v>
      </c>
    </row>
    <row r="70" customFormat="false" ht="15" hidden="false" customHeight="false" outlineLevel="0" collapsed="false">
      <c r="A70" s="18" t="s">
        <v>38</v>
      </c>
      <c r="B70" s="19" t="n">
        <v>2020</v>
      </c>
      <c r="C70" s="20" t="n">
        <v>13051441204.053</v>
      </c>
      <c r="D70" s="21" t="n">
        <v>-7.13767162064489</v>
      </c>
      <c r="E70" s="22" t="n">
        <v>450.771615205157</v>
      </c>
      <c r="F70" s="21" t="n">
        <v>4.20179312190557</v>
      </c>
      <c r="G70" s="21" t="n">
        <v>2.74657132350245</v>
      </c>
    </row>
    <row r="71" customFormat="false" ht="15" hidden="false" customHeight="false" outlineLevel="0" collapsed="false">
      <c r="A71" s="18" t="s">
        <v>38</v>
      </c>
      <c r="B71" s="19" t="n">
        <v>2021</v>
      </c>
      <c r="C71" s="20" t="n">
        <v>14354731964.3258</v>
      </c>
      <c r="D71" s="21" t="n">
        <v>4.65068343174309</v>
      </c>
      <c r="E71" s="22" t="n">
        <v>483.469463351195</v>
      </c>
      <c r="F71" s="21" t="n">
        <v>5.81225118787715</v>
      </c>
      <c r="G71" s="21" t="n">
        <v>2.49072338064723</v>
      </c>
    </row>
    <row r="72" customFormat="false" ht="15" hidden="false" customHeight="false" outlineLevel="0" collapsed="false">
      <c r="A72" s="18" t="s">
        <v>38</v>
      </c>
      <c r="B72" s="19" t="n">
        <v>2022</v>
      </c>
      <c r="C72" s="20" t="n">
        <v>15342178598.2475</v>
      </c>
      <c r="D72" s="21" t="n">
        <v>4.13753534956307</v>
      </c>
      <c r="E72" s="22" t="n">
        <v>504.059106969168</v>
      </c>
      <c r="F72" s="21" t="n">
        <v>8.16059031991844</v>
      </c>
      <c r="G72" s="21" t="n">
        <v>3.04942783216552</v>
      </c>
    </row>
    <row r="73" customFormat="false" ht="15" hidden="false" customHeight="false" outlineLevel="0" collapsed="false">
      <c r="A73" s="18" t="s">
        <v>38</v>
      </c>
      <c r="B73" s="19" t="n">
        <v>2023</v>
      </c>
      <c r="C73" s="20" t="n">
        <v>16036707975.7567</v>
      </c>
      <c r="D73" s="21" t="n">
        <v>4.23086580696344</v>
      </c>
      <c r="E73" s="22" t="n">
        <v>514.064076551927</v>
      </c>
      <c r="F73" s="21" t="n">
        <v>9.87432675044888</v>
      </c>
      <c r="G73" s="21" t="n">
        <v>3.23953789790907</v>
      </c>
    </row>
    <row r="74" customFormat="false" ht="15" hidden="false" customHeight="false" outlineLevel="0" collapsed="false">
      <c r="A74" s="18" t="s">
        <v>38</v>
      </c>
      <c r="B74" s="19" t="n">
        <v>2024</v>
      </c>
      <c r="C74" s="20" t="n">
        <v>17592832696.1336</v>
      </c>
      <c r="D74" s="21" t="n">
        <v>4.32283728087992</v>
      </c>
      <c r="E74" s="22" t="n">
        <v>550.37875528856</v>
      </c>
      <c r="F74" s="21" t="n">
        <v>7.61335784313723</v>
      </c>
      <c r="G74" s="21" t="n">
        <v>3.44577112659577</v>
      </c>
    </row>
    <row r="75" customFormat="false" ht="15" hidden="false" customHeight="false" outlineLevel="0" collapsed="false">
      <c r="A75" s="18" t="s">
        <v>39</v>
      </c>
      <c r="B75" s="19" t="n">
        <v>2019</v>
      </c>
      <c r="C75" s="20" t="n">
        <v>11051852712.6142</v>
      </c>
      <c r="D75" s="21" t="n">
        <v>5.71682519194337</v>
      </c>
      <c r="E75" s="22" t="n">
        <v>580.889139762475</v>
      </c>
      <c r="F75" s="21" t="n">
        <v>9.3708360560567</v>
      </c>
      <c r="G75" s="21" t="n">
        <v>0.499715595789277</v>
      </c>
    </row>
    <row r="76" customFormat="false" ht="15" hidden="false" customHeight="false" outlineLevel="0" collapsed="false">
      <c r="A76" s="18" t="s">
        <v>39</v>
      </c>
      <c r="B76" s="19" t="n">
        <v>2020</v>
      </c>
      <c r="C76" s="20" t="n">
        <v>11769313597.8545</v>
      </c>
      <c r="D76" s="21" t="n">
        <v>0.793596429787286</v>
      </c>
      <c r="E76" s="22" t="n">
        <v>602.507478176106</v>
      </c>
      <c r="F76" s="21" t="n">
        <v>8.62551469650552</v>
      </c>
      <c r="G76" s="21" t="n">
        <v>2.14268264715469</v>
      </c>
    </row>
    <row r="77" customFormat="false" ht="15" hidden="false" customHeight="false" outlineLevel="0" collapsed="false">
      <c r="A77" s="18" t="s">
        <v>39</v>
      </c>
      <c r="B77" s="19" t="n">
        <v>2021</v>
      </c>
      <c r="C77" s="20" t="n">
        <v>12378119199.0839</v>
      </c>
      <c r="D77" s="21" t="n">
        <v>4.55829212016083</v>
      </c>
      <c r="E77" s="22" t="n">
        <v>617.446994451007</v>
      </c>
      <c r="F77" s="21" t="n">
        <v>9.33014410835212</v>
      </c>
      <c r="G77" s="21" t="n">
        <v>1.04617739110529</v>
      </c>
    </row>
    <row r="78" customFormat="false" ht="15" hidden="false" customHeight="false" outlineLevel="0" collapsed="false">
      <c r="A78" s="18" t="s">
        <v>39</v>
      </c>
      <c r="B78" s="19" t="n">
        <v>2022</v>
      </c>
      <c r="C78" s="20" t="n">
        <v>12429059928.102</v>
      </c>
      <c r="D78" s="21" t="n">
        <v>0.921115069005936</v>
      </c>
      <c r="E78" s="22" t="n">
        <v>604.269740360317</v>
      </c>
      <c r="F78" s="21" t="n">
        <v>20.953969729969</v>
      </c>
      <c r="G78" s="21" t="n">
        <v>1.5988861608404</v>
      </c>
    </row>
    <row r="79" customFormat="false" ht="15" hidden="false" customHeight="false" outlineLevel="0" collapsed="false">
      <c r="A79" s="18" t="s">
        <v>39</v>
      </c>
      <c r="B79" s="19" t="n">
        <v>2023</v>
      </c>
      <c r="C79" s="20" t="n">
        <v>13363669672.9405</v>
      </c>
      <c r="D79" s="21" t="n">
        <v>1.94575281675984</v>
      </c>
      <c r="E79" s="22" t="n">
        <v>633.214767978695</v>
      </c>
      <c r="F79" s="21" t="n">
        <v>28.7897428247298</v>
      </c>
      <c r="G79" s="21" t="n">
        <v>1.60106112476406</v>
      </c>
    </row>
    <row r="80" customFormat="false" ht="15" hidden="false" customHeight="false" outlineLevel="0" collapsed="false">
      <c r="A80" s="18" t="s">
        <v>39</v>
      </c>
      <c r="B80" s="19" t="n">
        <v>2024</v>
      </c>
      <c r="C80" s="20" t="n">
        <v>11311971400.3864</v>
      </c>
      <c r="D80" s="21" t="n">
        <v>1.6734340852915</v>
      </c>
      <c r="E80" s="22" t="n">
        <v>522.365366146003</v>
      </c>
      <c r="F80" s="21" t="n">
        <v>32.1796504225025</v>
      </c>
      <c r="G80" s="21" t="n">
        <v>2.28053083149593</v>
      </c>
    </row>
    <row r="81" customFormat="false" ht="15" hidden="false" customHeight="false" outlineLevel="0" collapsed="false">
      <c r="A81" s="18" t="s">
        <v>40</v>
      </c>
      <c r="B81" s="19" t="n">
        <v>2019</v>
      </c>
      <c r="C81" s="20" t="n">
        <v>14645235204.6176</v>
      </c>
      <c r="D81" s="21" t="n">
        <v>2.86394938684734</v>
      </c>
      <c r="E81" s="22" t="n">
        <v>11568.2533399824</v>
      </c>
      <c r="F81" s="21" t="n">
        <v>0.405655190309553</v>
      </c>
      <c r="G81" s="21" t="n">
        <v>3.03223371830849</v>
      </c>
    </row>
    <row r="82" customFormat="false" ht="15" hidden="false" customHeight="false" outlineLevel="0" collapsed="false">
      <c r="A82" s="18" t="s">
        <v>40</v>
      </c>
      <c r="B82" s="19" t="n">
        <v>2020</v>
      </c>
      <c r="C82" s="20" t="n">
        <v>11566111137.5568</v>
      </c>
      <c r="D82" s="21" t="n">
        <v>-14.1974358137792</v>
      </c>
      <c r="E82" s="22" t="n">
        <v>9135.84773751062</v>
      </c>
      <c r="F82" s="21" t="n">
        <v>2.5808007718283</v>
      </c>
      <c r="G82" s="21" t="n">
        <v>1.94246862517576</v>
      </c>
    </row>
    <row r="83" customFormat="false" ht="15" hidden="false" customHeight="false" outlineLevel="0" collapsed="false">
      <c r="A83" s="18" t="s">
        <v>40</v>
      </c>
      <c r="B83" s="19" t="n">
        <v>2021</v>
      </c>
      <c r="C83" s="20" t="n">
        <v>11622048696.8129</v>
      </c>
      <c r="D83" s="21" t="n">
        <v>3.33809084057279</v>
      </c>
      <c r="E83" s="22" t="n">
        <v>9177.71195973013</v>
      </c>
      <c r="F83" s="21" t="n">
        <v>4.02852888157376</v>
      </c>
      <c r="G83" s="21" t="n">
        <v>2.24180552669211</v>
      </c>
    </row>
    <row r="84" customFormat="false" ht="15" hidden="false" customHeight="false" outlineLevel="0" collapsed="false">
      <c r="A84" s="18" t="s">
        <v>40</v>
      </c>
      <c r="B84" s="19" t="n">
        <v>2022</v>
      </c>
      <c r="C84" s="20" t="n">
        <v>12936444123.3037</v>
      </c>
      <c r="D84" s="21" t="n">
        <v>8.3424438025047</v>
      </c>
      <c r="E84" s="22" t="n">
        <v>10246.5017455553</v>
      </c>
      <c r="F84" s="21" t="n">
        <v>10.7737512242899</v>
      </c>
      <c r="G84" s="21" t="n">
        <v>4.21993412406582</v>
      </c>
    </row>
    <row r="85" customFormat="false" ht="15" hidden="false" customHeight="false" outlineLevel="0" collapsed="false">
      <c r="A85" s="18" t="s">
        <v>40</v>
      </c>
      <c r="B85" s="19" t="n">
        <v>2023</v>
      </c>
      <c r="C85" s="20" t="n">
        <v>14072212290.4596</v>
      </c>
      <c r="D85" s="21" t="n">
        <v>4.69918189687444</v>
      </c>
      <c r="E85" s="22" t="n">
        <v>11269.9684462139</v>
      </c>
      <c r="F85" s="21" t="n">
        <v>7.05298238454736</v>
      </c>
      <c r="G85" s="21" t="n">
        <v>5.39963130399295</v>
      </c>
    </row>
    <row r="86" customFormat="false" ht="15" hidden="false" customHeight="false" outlineLevel="0" collapsed="false">
      <c r="A86" s="18" t="s">
        <v>40</v>
      </c>
      <c r="B86" s="19" t="n">
        <v>2024</v>
      </c>
      <c r="C86" s="20" t="n">
        <v>14938055690.3609</v>
      </c>
      <c r="D86" s="21" t="n">
        <v>4.94844235250574</v>
      </c>
      <c r="E86" s="22" t="n">
        <v>11990.9355434317</v>
      </c>
      <c r="F86" s="21" t="n">
        <v>3.6045220384796</v>
      </c>
      <c r="G86" s="21" t="n">
        <v>4.56067539257877</v>
      </c>
    </row>
    <row r="87" customFormat="false" ht="15" hidden="false" customHeight="false" outlineLevel="0" collapsed="false">
      <c r="A87" s="18" t="s">
        <v>41</v>
      </c>
      <c r="B87" s="19" t="n">
        <v>2019</v>
      </c>
      <c r="C87" s="20" t="n">
        <v>15512759046.672</v>
      </c>
      <c r="D87" s="21" t="n">
        <v>2.31781394821475</v>
      </c>
      <c r="E87" s="22" t="n">
        <v>519.09255091362</v>
      </c>
      <c r="F87" s="21" t="n">
        <v>2.80270307928111</v>
      </c>
      <c r="G87" s="21" t="n">
        <v>21.7841914901932</v>
      </c>
    </row>
    <row r="88" customFormat="false" ht="15" hidden="false" customHeight="false" outlineLevel="0" collapsed="false">
      <c r="A88" s="18" t="s">
        <v>41</v>
      </c>
      <c r="B88" s="19" t="n">
        <v>2020</v>
      </c>
      <c r="C88" s="20" t="n">
        <v>14235420174.1884</v>
      </c>
      <c r="D88" s="21" t="n">
        <v>-1.21952250011192</v>
      </c>
      <c r="E88" s="22" t="n">
        <v>462.433876479921</v>
      </c>
      <c r="F88" s="21" t="n">
        <v>3.48393567493204</v>
      </c>
      <c r="G88" s="21" t="n">
        <v>22.3944370320025</v>
      </c>
    </row>
    <row r="89" customFormat="false" ht="15" hidden="false" customHeight="false" outlineLevel="0" collapsed="false">
      <c r="A89" s="18" t="s">
        <v>41</v>
      </c>
      <c r="B89" s="19" t="n">
        <v>2021</v>
      </c>
      <c r="C89" s="20" t="n">
        <v>16168055475.4449</v>
      </c>
      <c r="D89" s="21" t="n">
        <v>2.37743572761507</v>
      </c>
      <c r="E89" s="22" t="n">
        <v>509.907829475551</v>
      </c>
      <c r="F89" s="21" t="n">
        <v>6.40847652975692</v>
      </c>
      <c r="G89" s="21" t="n">
        <v>32.7522138534006</v>
      </c>
    </row>
    <row r="90" customFormat="false" ht="15" hidden="false" customHeight="false" outlineLevel="0" collapsed="false">
      <c r="A90" s="18" t="s">
        <v>41</v>
      </c>
      <c r="B90" s="19" t="n">
        <v>2022</v>
      </c>
      <c r="C90" s="20" t="n">
        <v>18884232598.8698</v>
      </c>
      <c r="D90" s="21" t="n">
        <v>4.3693080193804</v>
      </c>
      <c r="E90" s="22" t="n">
        <v>578.273222184503</v>
      </c>
      <c r="F90" s="21" t="n">
        <v>10.2794018093421</v>
      </c>
      <c r="G90" s="21" t="n">
        <v>16.0036980555879</v>
      </c>
    </row>
    <row r="91" customFormat="false" ht="15" hidden="false" customHeight="false" outlineLevel="0" collapsed="false">
      <c r="A91" s="18" t="s">
        <v>41</v>
      </c>
      <c r="B91" s="19" t="n">
        <v>2023</v>
      </c>
      <c r="C91" s="20" t="n">
        <v>20927498317.3094</v>
      </c>
      <c r="D91" s="21" t="n">
        <v>5.50384456650241</v>
      </c>
      <c r="E91" s="22" t="n">
        <v>622.191133245967</v>
      </c>
      <c r="F91" s="21" t="n">
        <v>7.12697482131851</v>
      </c>
      <c r="G91" s="21" t="n">
        <v>12.8228717557759</v>
      </c>
    </row>
    <row r="92" customFormat="false" ht="15" hidden="false" customHeight="false" outlineLevel="0" collapsed="false">
      <c r="A92" s="18" t="s">
        <v>41</v>
      </c>
      <c r="B92" s="19" t="n">
        <v>2024</v>
      </c>
      <c r="C92" s="20" t="n">
        <v>22752244245.473</v>
      </c>
      <c r="D92" s="21" t="n">
        <v>2.14892499135355</v>
      </c>
      <c r="E92" s="22" t="n">
        <v>656.976148587772</v>
      </c>
      <c r="F92" s="21" t="n">
        <v>4.07856834812022</v>
      </c>
      <c r="G92" s="21" t="n">
        <v>15.4210115464394</v>
      </c>
    </row>
    <row r="93" customFormat="false" ht="15" hidden="false" customHeight="false" outlineLevel="0" collapsed="false">
      <c r="A93" s="18" t="s">
        <v>42</v>
      </c>
      <c r="B93" s="19" t="n">
        <v>2019</v>
      </c>
      <c r="C93" s="20" t="n">
        <v>1868690096.73454</v>
      </c>
      <c r="D93" s="21" t="n">
        <v>5.5142920737342</v>
      </c>
      <c r="E93" s="22" t="n">
        <v>19141.5118743615</v>
      </c>
      <c r="F93" s="21" t="n">
        <v>1.80709400809982</v>
      </c>
      <c r="G93" s="21" t="n">
        <v>13.7575701960234</v>
      </c>
    </row>
    <row r="94" customFormat="false" ht="15" hidden="false" customHeight="false" outlineLevel="0" collapsed="false">
      <c r="A94" s="18" t="s">
        <v>42</v>
      </c>
      <c r="B94" s="19" t="n">
        <v>2020</v>
      </c>
      <c r="C94" s="20" t="n">
        <v>1382551751.56908</v>
      </c>
      <c r="D94" s="21" t="n">
        <v>-11.7398608281732</v>
      </c>
      <c r="E94" s="22" t="n">
        <v>14041.4754074575</v>
      </c>
      <c r="F94" s="21" t="n">
        <v>1.20266463987123</v>
      </c>
      <c r="G94" s="21" t="n">
        <v>5.79027015191072</v>
      </c>
    </row>
    <row r="95" customFormat="false" ht="15" hidden="false" customHeight="false" outlineLevel="0" collapsed="false">
      <c r="A95" s="18" t="s">
        <v>42</v>
      </c>
      <c r="B95" s="19" t="n">
        <v>2021</v>
      </c>
      <c r="C95" s="20" t="n">
        <v>1487173794.80528</v>
      </c>
      <c r="D95" s="21" t="n">
        <v>0.552281631207279</v>
      </c>
      <c r="E95" s="22" t="n">
        <v>14982.9111487767</v>
      </c>
      <c r="F95" s="21" t="n">
        <v>9.76909936973542</v>
      </c>
      <c r="G95" s="21" t="n">
        <v>7.52808883301193</v>
      </c>
    </row>
    <row r="96" customFormat="false" ht="15" hidden="false" customHeight="false" outlineLevel="0" collapsed="false">
      <c r="A96" s="18" t="s">
        <v>42</v>
      </c>
      <c r="B96" s="19" t="n">
        <v>2022</v>
      </c>
      <c r="C96" s="20" t="n">
        <v>1999888599.25474</v>
      </c>
      <c r="D96" s="21" t="n">
        <v>9.88048366355446</v>
      </c>
      <c r="E96" s="22" t="n">
        <v>16682.6990711785</v>
      </c>
      <c r="F96" s="21" t="n">
        <v>2.6260363285129</v>
      </c>
      <c r="G96" s="21" t="n">
        <v>9.4918981662406</v>
      </c>
    </row>
    <row r="97" customFormat="false" ht="15" hidden="false" customHeight="false" outlineLevel="0" collapsed="false">
      <c r="A97" s="18" t="s">
        <v>42</v>
      </c>
      <c r="B97" s="19" t="n">
        <v>2023</v>
      </c>
      <c r="C97" s="20" t="n">
        <v>2171547935.38159</v>
      </c>
      <c r="D97" s="21" t="n">
        <v>5.17980996672414</v>
      </c>
      <c r="E97" s="22" t="n">
        <v>18130.5297135548</v>
      </c>
      <c r="F97" s="21" t="n">
        <v>-1.03530088431952</v>
      </c>
      <c r="G97" s="21" t="n">
        <v>11.0384988650861</v>
      </c>
    </row>
    <row r="98" customFormat="false" ht="15" hidden="false" customHeight="false" outlineLevel="0" collapsed="false">
      <c r="A98" s="18" t="s">
        <v>42</v>
      </c>
      <c r="B98" s="19" t="n">
        <v>2024</v>
      </c>
      <c r="C98" s="20" t="n">
        <v>2228608684.29911</v>
      </c>
      <c r="D98" s="21" t="n">
        <v>3.34667429007052</v>
      </c>
      <c r="E98" s="22" t="n">
        <v>18364.5259678223</v>
      </c>
      <c r="F98" s="21" t="n">
        <v>0.311726050919668</v>
      </c>
      <c r="G98" s="21" t="n">
        <v>10.1468739688419</v>
      </c>
    </row>
    <row r="99" customFormat="false" ht="15" hidden="false" customHeight="false" outlineLevel="0" collapsed="false">
      <c r="A99" s="18" t="s">
        <v>43</v>
      </c>
      <c r="B99" s="19" t="n">
        <v>2019</v>
      </c>
      <c r="C99" s="20" t="n">
        <v>8656000000</v>
      </c>
      <c r="D99" s="21" t="n">
        <v>2.80033312513012</v>
      </c>
      <c r="E99" s="22" t="n">
        <v>539.954816211694</v>
      </c>
      <c r="F99" s="21"/>
      <c r="G99" s="21" t="n">
        <v>5.16404805914972</v>
      </c>
    </row>
    <row r="100" customFormat="false" ht="15" hidden="false" customHeight="false" outlineLevel="0" collapsed="false">
      <c r="A100" s="18" t="s">
        <v>43</v>
      </c>
      <c r="B100" s="19" t="n">
        <v>2020</v>
      </c>
      <c r="C100" s="20" t="n">
        <v>8628000000</v>
      </c>
      <c r="D100" s="21" t="n">
        <v>-2.76455696202532</v>
      </c>
      <c r="E100" s="22" t="n">
        <v>518.16113333875</v>
      </c>
      <c r="F100" s="21"/>
      <c r="G100" s="21" t="n">
        <v>6.18915159944367</v>
      </c>
    </row>
    <row r="101" customFormat="false" ht="15" hidden="false" customHeight="false" outlineLevel="0" collapsed="false">
      <c r="A101" s="18" t="s">
        <v>43</v>
      </c>
      <c r="B101" s="19" t="n">
        <v>2021</v>
      </c>
      <c r="C101" s="20" t="n">
        <v>9483000000</v>
      </c>
      <c r="D101" s="21" t="n">
        <v>3.44719850031242</v>
      </c>
      <c r="E101" s="22" t="n">
        <v>549.056994756254</v>
      </c>
      <c r="F101" s="21"/>
      <c r="G101" s="21" t="n">
        <v>6.33765685964357</v>
      </c>
    </row>
    <row r="102" customFormat="false" ht="15" hidden="false" customHeight="false" outlineLevel="0" collapsed="false">
      <c r="A102" s="18" t="s">
        <v>43</v>
      </c>
      <c r="B102" s="19" t="n">
        <v>2022</v>
      </c>
      <c r="C102" s="20" t="n">
        <v>10203000000</v>
      </c>
      <c r="D102" s="21" t="n">
        <v>2.71821202053759</v>
      </c>
      <c r="E102" s="22" t="n">
        <v>573.141165798229</v>
      </c>
      <c r="F102" s="21"/>
      <c r="G102" s="21" t="n">
        <v>6.23346074683917</v>
      </c>
    </row>
    <row r="103" customFormat="false" ht="15" hidden="false" customHeight="false" outlineLevel="0" collapsed="false">
      <c r="A103" s="18" t="s">
        <v>43</v>
      </c>
      <c r="B103" s="19" t="n">
        <v>2023</v>
      </c>
      <c r="C103" s="20" t="n">
        <v>10958000000</v>
      </c>
      <c r="D103" s="21" t="n">
        <v>4.17524257571303</v>
      </c>
      <c r="E103" s="22" t="n">
        <v>596.885985135589</v>
      </c>
      <c r="F103" s="21"/>
      <c r="G103" s="21" t="n">
        <v>6.17357181967512</v>
      </c>
    </row>
    <row r="104" customFormat="false" ht="15" hidden="false" customHeight="false" outlineLevel="0" collapsed="false">
      <c r="A104" s="18" t="s">
        <v>43</v>
      </c>
      <c r="B104" s="19" t="n">
        <v>2024</v>
      </c>
      <c r="C104" s="20" t="n">
        <v>11967000000</v>
      </c>
      <c r="D104" s="21" t="n">
        <v>4.11139335779471</v>
      </c>
      <c r="E104" s="22" t="n">
        <v>629.538899449007</v>
      </c>
      <c r="F104" s="21"/>
      <c r="G104" s="21" t="n">
        <v>6.39257959388318</v>
      </c>
    </row>
    <row r="105" customFormat="false" ht="15" hidden="false" customHeight="false" outlineLevel="0" collapsed="false">
      <c r="A105" s="18" t="s">
        <v>44</v>
      </c>
      <c r="B105" s="19" t="n">
        <v>2019</v>
      </c>
      <c r="C105" s="20"/>
      <c r="D105" s="21"/>
      <c r="E105" s="22"/>
      <c r="F105" s="21" t="n">
        <v>87.2413641500032</v>
      </c>
      <c r="G105" s="21"/>
    </row>
    <row r="106" customFormat="false" ht="15" hidden="false" customHeight="false" outlineLevel="0" collapsed="false">
      <c r="A106" s="18" t="s">
        <v>44</v>
      </c>
      <c r="B106" s="19" t="n">
        <v>2020</v>
      </c>
      <c r="C106" s="20"/>
      <c r="D106" s="21"/>
      <c r="E106" s="22"/>
      <c r="F106" s="21" t="n">
        <v>29.6758435538572</v>
      </c>
      <c r="G106" s="21"/>
    </row>
    <row r="107" customFormat="false" ht="15" hidden="false" customHeight="false" outlineLevel="0" collapsed="false">
      <c r="A107" s="18" t="s">
        <v>44</v>
      </c>
      <c r="B107" s="19" t="n">
        <v>2021</v>
      </c>
      <c r="C107" s="20"/>
      <c r="D107" s="21"/>
      <c r="E107" s="22"/>
      <c r="F107" s="21" t="n">
        <v>10.5167158294358</v>
      </c>
      <c r="G107" s="21"/>
    </row>
    <row r="108" customFormat="false" ht="15" hidden="false" customHeight="false" outlineLevel="0" collapsed="false">
      <c r="A108" s="18" t="s">
        <v>44</v>
      </c>
      <c r="B108" s="19" t="n">
        <v>2022</v>
      </c>
      <c r="C108" s="20"/>
      <c r="D108" s="21"/>
      <c r="E108" s="22"/>
      <c r="F108" s="21" t="n">
        <v>-6.68732094212668</v>
      </c>
      <c r="G108" s="21"/>
    </row>
    <row r="109" customFormat="false" ht="15" hidden="false" customHeight="false" outlineLevel="0" collapsed="false">
      <c r="A109" s="18" t="s">
        <v>44</v>
      </c>
      <c r="B109" s="19" t="n">
        <v>2023</v>
      </c>
      <c r="C109" s="20"/>
      <c r="D109" s="21"/>
      <c r="E109" s="22"/>
      <c r="F109" s="21" t="n">
        <v>2.38280434813754</v>
      </c>
      <c r="G109" s="21"/>
    </row>
    <row r="110" customFormat="false" ht="15" hidden="false" customHeight="false" outlineLevel="0" collapsed="false">
      <c r="A110" s="18" t="s">
        <v>44</v>
      </c>
      <c r="B110" s="19" t="n">
        <v>2024</v>
      </c>
      <c r="C110" s="20"/>
      <c r="D110" s="21"/>
      <c r="E110" s="22"/>
      <c r="F110" s="21" t="n">
        <v>91.4408220769046</v>
      </c>
      <c r="G110" s="21"/>
    </row>
    <row r="111" customFormat="false" ht="15" hidden="false" customHeight="false" outlineLevel="0" collapsed="false">
      <c r="A111" s="18" t="s">
        <v>45</v>
      </c>
      <c r="B111" s="19" t="n">
        <v>2019</v>
      </c>
      <c r="C111" s="20" t="n">
        <v>23308667781.2258</v>
      </c>
      <c r="D111" s="21" t="n">
        <v>1.44130602603785</v>
      </c>
      <c r="E111" s="22" t="n">
        <v>1258.98619844462</v>
      </c>
      <c r="F111" s="21" t="n">
        <v>9.15031644316296</v>
      </c>
      <c r="G111" s="21" t="n">
        <v>2.3509190433173</v>
      </c>
    </row>
    <row r="112" customFormat="false" ht="15" hidden="false" customHeight="false" outlineLevel="0" collapsed="false">
      <c r="A112" s="18" t="s">
        <v>45</v>
      </c>
      <c r="B112" s="19" t="n">
        <v>2020</v>
      </c>
      <c r="C112" s="20" t="n">
        <v>18137764930.651</v>
      </c>
      <c r="D112" s="21" t="n">
        <v>-2.78505506545167</v>
      </c>
      <c r="E112" s="22" t="n">
        <v>951.644316655957</v>
      </c>
      <c r="F112" s="21" t="n">
        <v>15.7330604721369</v>
      </c>
      <c r="G112" s="21" t="n">
        <v>1.35190577412928</v>
      </c>
    </row>
    <row r="113" customFormat="false" ht="15" hidden="false" customHeight="false" outlineLevel="0" collapsed="false">
      <c r="A113" s="18" t="s">
        <v>45</v>
      </c>
      <c r="B113" s="19" t="n">
        <v>2021</v>
      </c>
      <c r="C113" s="20" t="n">
        <v>22096416932.0089</v>
      </c>
      <c r="D113" s="21" t="n">
        <v>6.23492204726448</v>
      </c>
      <c r="E113" s="22" t="n">
        <v>1127.16077872857</v>
      </c>
      <c r="F113" s="21" t="n">
        <v>22.0207676245777</v>
      </c>
      <c r="G113" s="21" t="n">
        <v>1.78407846118257</v>
      </c>
    </row>
    <row r="114" customFormat="false" ht="15" hidden="false" customHeight="false" outlineLevel="0" collapsed="false">
      <c r="A114" s="18" t="s">
        <v>45</v>
      </c>
      <c r="B114" s="19" t="n">
        <v>2022</v>
      </c>
      <c r="C114" s="20" t="n">
        <v>29163782140.4858</v>
      </c>
      <c r="D114" s="21" t="n">
        <v>5.21122360356247</v>
      </c>
      <c r="E114" s="22" t="n">
        <v>1447.12310138035</v>
      </c>
      <c r="F114" s="21" t="n">
        <v>10.9932039209136</v>
      </c>
      <c r="G114" s="21" t="n">
        <v>-0.223286755156161</v>
      </c>
    </row>
    <row r="115" customFormat="false" ht="15" hidden="false" customHeight="false" outlineLevel="0" collapsed="false">
      <c r="A115" s="18" t="s">
        <v>45</v>
      </c>
      <c r="B115" s="19" t="n">
        <v>2023</v>
      </c>
      <c r="C115" s="20" t="n">
        <v>27577956471.244</v>
      </c>
      <c r="D115" s="21" t="n">
        <v>5.36794285493059</v>
      </c>
      <c r="E115" s="22" t="n">
        <v>1330.72780576709</v>
      </c>
      <c r="F115" s="21" t="n">
        <v>10.884531691282</v>
      </c>
      <c r="G115" s="21" t="n">
        <v>2.32465335614826</v>
      </c>
    </row>
    <row r="116" customFormat="false" ht="15" hidden="false" customHeight="false" outlineLevel="0" collapsed="false">
      <c r="A116" s="18" t="s">
        <v>45</v>
      </c>
      <c r="B116" s="19" t="n">
        <v>2024</v>
      </c>
      <c r="C116" s="20" t="n">
        <v>25303185342.2511</v>
      </c>
      <c r="D116" s="21" t="n">
        <v>3.82004825518591</v>
      </c>
      <c r="E116" s="22" t="n">
        <v>1187.10943350064</v>
      </c>
      <c r="F116" s="21" t="n">
        <v>14.9856262747939</v>
      </c>
      <c r="G116" s="21" t="n">
        <v>9.32437789659637</v>
      </c>
    </row>
    <row r="117" customFormat="false" ht="15" hidden="false" customHeight="false" outlineLevel="0" collapsed="false">
      <c r="A117" s="18" t="s">
        <v>46</v>
      </c>
      <c r="B117" s="19" t="n">
        <v>2019</v>
      </c>
      <c r="C117" s="20" t="n">
        <v>33360632553.3556</v>
      </c>
      <c r="D117" s="21" t="n">
        <v>-6.33244976028571</v>
      </c>
      <c r="E117" s="22" t="n">
        <v>2184.52155388801</v>
      </c>
      <c r="F117" s="21" t="n">
        <v>255.304990757856</v>
      </c>
      <c r="G117" s="21" t="n">
        <v>0.748407181444125</v>
      </c>
    </row>
    <row r="118" customFormat="false" ht="15" hidden="false" customHeight="false" outlineLevel="0" collapsed="false">
      <c r="A118" s="18" t="s">
        <v>46</v>
      </c>
      <c r="B118" s="19" t="n">
        <v>2020</v>
      </c>
      <c r="C118" s="20" t="n">
        <v>31979753644.6558</v>
      </c>
      <c r="D118" s="21" t="n">
        <v>-7.81695060188729</v>
      </c>
      <c r="E118" s="22" t="n">
        <v>2059.63704025274</v>
      </c>
      <c r="F118" s="21" t="n">
        <v>557.201817362051</v>
      </c>
      <c r="G118" s="21" t="n">
        <v>0.470490704047012</v>
      </c>
    </row>
    <row r="119" customFormat="false" ht="15" hidden="false" customHeight="false" outlineLevel="0" collapsed="false">
      <c r="A119" s="18" t="s">
        <v>46</v>
      </c>
      <c r="B119" s="19" t="n">
        <v>2021</v>
      </c>
      <c r="C119" s="20" t="n">
        <v>41287852523.5016</v>
      </c>
      <c r="D119" s="21" t="n">
        <v>8.46801676808001</v>
      </c>
      <c r="E119" s="22" t="n">
        <v>2613.6167414057</v>
      </c>
      <c r="F119" s="21" t="n">
        <v>98.5461050920624</v>
      </c>
      <c r="G119" s="21" t="n">
        <v>0.575182174042167</v>
      </c>
    </row>
    <row r="120" customFormat="false" ht="15" hidden="false" customHeight="false" outlineLevel="0" collapsed="false">
      <c r="A120" s="18" t="s">
        <v>46</v>
      </c>
      <c r="B120" s="19" t="n">
        <v>2022</v>
      </c>
      <c r="C120" s="20" t="n">
        <v>40757585308.5016</v>
      </c>
      <c r="D120" s="21" t="n">
        <v>6.13926327570213</v>
      </c>
      <c r="E120" s="22" t="n">
        <v>2536.40197087505</v>
      </c>
      <c r="F120" s="21" t="n">
        <v>104.705170628667</v>
      </c>
      <c r="G120" s="21" t="n">
        <v>0.826253561026726</v>
      </c>
    </row>
    <row r="121" customFormat="false" ht="15" hidden="false" customHeight="false" outlineLevel="0" collapsed="false">
      <c r="A121" s="18" t="s">
        <v>46</v>
      </c>
      <c r="B121" s="19" t="n">
        <v>2023</v>
      </c>
      <c r="C121" s="20" t="n">
        <v>35871781303.429</v>
      </c>
      <c r="D121" s="21" t="n">
        <v>5.3508687909833</v>
      </c>
      <c r="E121" s="22" t="n">
        <v>2195.22502010174</v>
      </c>
      <c r="F121" s="21"/>
      <c r="G121" s="21" t="n">
        <v>1.6843211517412</v>
      </c>
    </row>
    <row r="122" customFormat="false" ht="15" hidden="false" customHeight="false" outlineLevel="0" collapsed="false">
      <c r="A122" s="18" t="s">
        <v>46</v>
      </c>
      <c r="B122" s="19" t="n">
        <v>2024</v>
      </c>
      <c r="C122" s="20" t="n">
        <v>41521975830.2351</v>
      </c>
      <c r="D122" s="21" t="n">
        <v>1.67649454921512</v>
      </c>
      <c r="E122" s="22" t="n">
        <v>2496.15514995576</v>
      </c>
      <c r="F122" s="21"/>
      <c r="G122" s="21" t="n">
        <v>1.12093172517355</v>
      </c>
    </row>
  </sheetData>
  <autoFilter ref="A2:G122"/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20"/>
  </cols>
  <sheetData>
    <row r="1" customFormat="false" ht="19.5" hidden="false" customHeight="true" outlineLevel="0" collapsed="false">
      <c r="A1" s="8"/>
      <c r="B1" s="8"/>
      <c r="C1" s="9" t="s">
        <v>16</v>
      </c>
      <c r="D1" s="10" t="s">
        <v>17</v>
      </c>
      <c r="E1" s="10"/>
      <c r="F1" s="11" t="s">
        <v>18</v>
      </c>
      <c r="G1" s="12" t="s">
        <v>19</v>
      </c>
    </row>
    <row r="2" customFormat="false" ht="31.5" hidden="false" customHeight="true" outlineLevel="0" collapsed="false">
      <c r="A2" s="13" t="s">
        <v>20</v>
      </c>
      <c r="B2" s="13" t="s">
        <v>47</v>
      </c>
      <c r="C2" s="14" t="s">
        <v>22</v>
      </c>
      <c r="D2" s="15" t="s">
        <v>23</v>
      </c>
      <c r="E2" s="15" t="s">
        <v>24</v>
      </c>
      <c r="F2" s="16" t="s">
        <v>25</v>
      </c>
      <c r="G2" s="17" t="s">
        <v>26</v>
      </c>
    </row>
    <row r="3" customFormat="false" ht="15" hidden="false" customHeight="false" outlineLevel="0" collapsed="false">
      <c r="A3" s="18" t="s">
        <v>27</v>
      </c>
      <c r="B3" s="19" t="n">
        <v>2024</v>
      </c>
      <c r="C3" s="20" t="n">
        <f aca="false">IFERROR(SUMIFS(Data!$C$3:$C$122,Data!$A$3:$A$122,A3,Data!$B$3:$B$122,2024),"n/a")</f>
        <v>120397537849.826</v>
      </c>
      <c r="D3" s="21" t="n">
        <f aca="false">IFERROR(SUMIFS(Data!$D$3:$D$122,Data!$A$3:$A$122,A3,Data!$B$3:$B$122,2024),"n/a")</f>
        <v>4.66019594571891</v>
      </c>
      <c r="E3" s="22" t="n">
        <f aca="false">IFERROR(SUMIFS(Data!$E$3:$E$122,Data!$A$3:$A$122,A3,Data!$B$3:$B$122,2024),"n/a")</f>
        <v>2133.46193404026</v>
      </c>
      <c r="F3" s="21" t="n">
        <f aca="false">IFERROR(SUMIFS(Data!$F$3:$F$122,Data!$A$3:$A$122,A3,Data!$B$3:$B$122,2024),"n/a")</f>
        <v>4.48978854243448</v>
      </c>
      <c r="G3" s="21" t="n">
        <f aca="false">IFERROR(SUMIFS(Data!$G$3:$G$122,Data!$A$3:$A$122,A3,Data!$B$3:$B$122,2024),"n/a")</f>
        <v>0.384924569449646</v>
      </c>
    </row>
    <row r="4" customFormat="false" ht="15" hidden="false" customHeight="false" outlineLevel="0" collapsed="false">
      <c r="A4" s="18" t="s">
        <v>28</v>
      </c>
      <c r="B4" s="19" t="n">
        <v>2024</v>
      </c>
      <c r="C4" s="20" t="n">
        <f aca="false">IFERROR(SUMIFS(Data!$C$3:$C$122,Data!$A$3:$A$122,A4,Data!$B$3:$B$122,2024),"n/a")</f>
        <v>79235713444.9777</v>
      </c>
      <c r="D4" s="21" t="n">
        <f aca="false">IFERROR(SUMIFS(Data!$D$3:$D$122,Data!$A$3:$A$122,A4,Data!$B$3:$B$122,2024),"n/a")</f>
        <v>5.5263138305945</v>
      </c>
      <c r="E4" s="22" t="n">
        <f aca="false">IFERROR(SUMIFS(Data!$E$3:$E$122,Data!$A$3:$A$122,A4,Data!$B$3:$B$122,2024),"n/a")</f>
        <v>1192.60668945313</v>
      </c>
      <c r="F4" s="21" t="n">
        <f aca="false">IFERROR(SUMIFS(Data!$F$3:$F$122,Data!$A$3:$A$122,A4,Data!$B$3:$B$122,2024),"n/a")</f>
        <v>3.05694676312373</v>
      </c>
      <c r="G4" s="21" t="n">
        <f aca="false">IFERROR(SUMIFS(Data!$G$3:$G$122,Data!$A$3:$A$122,A4,Data!$B$3:$B$122,2024),"n/a")</f>
        <v>2.16767805172059</v>
      </c>
    </row>
    <row r="5" customFormat="false" ht="15" hidden="false" customHeight="false" outlineLevel="0" collapsed="false">
      <c r="A5" s="18" t="s">
        <v>29</v>
      </c>
      <c r="B5" s="19" t="n">
        <v>2024</v>
      </c>
      <c r="C5" s="20" t="n">
        <f aca="false">IFERROR(SUMIFS(Data!$C$3:$C$122,Data!$A$3:$A$122,A5,Data!$B$3:$B$122,2024),"n/a")</f>
        <v>53911907079.0485</v>
      </c>
      <c r="D5" s="21" t="n">
        <f aca="false">IFERROR(SUMIFS(Data!$D$3:$D$122,Data!$A$3:$A$122,A5,Data!$B$3:$B$122,2024),"n/a")</f>
        <v>6.05558075875589</v>
      </c>
      <c r="E5" s="22" t="n">
        <f aca="false">IFERROR(SUMIFS(Data!$E$3:$E$122,Data!$A$3:$A$122,A5,Data!$B$3:$B$122,2024),"n/a")</f>
        <v>1077.91278438613</v>
      </c>
      <c r="F5" s="21" t="n">
        <f aca="false">IFERROR(SUMIFS(Data!$F$3:$F$122,Data!$A$3:$A$122,A5,Data!$B$3:$B$122,2024),"n/a")</f>
        <v>3.32338033691819</v>
      </c>
      <c r="G5" s="21" t="n">
        <f aca="false">IFERROR(SUMIFS(Data!$G$3:$G$122,Data!$A$3:$A$122,A5,Data!$B$3:$B$122,2024),"n/a")</f>
        <v>6.04170465908871</v>
      </c>
    </row>
    <row r="6" customFormat="false" ht="15" hidden="false" customHeight="false" outlineLevel="0" collapsed="false">
      <c r="A6" s="18" t="s">
        <v>30</v>
      </c>
      <c r="B6" s="19" t="n">
        <v>2024</v>
      </c>
      <c r="C6" s="20" t="n">
        <f aca="false">IFERROR(SUMIFS(Data!$C$3:$C$122,Data!$A$3:$A$122,A6,Data!$B$3:$B$122,2024),"n/a")</f>
        <v>15111064181.9687</v>
      </c>
      <c r="D6" s="21" t="n">
        <f aca="false">IFERROR(SUMIFS(Data!$D$3:$D$122,Data!$A$3:$A$122,A6,Data!$B$3:$B$122,2024),"n/a")</f>
        <v>7.22717103344534</v>
      </c>
      <c r="E6" s="22" t="n">
        <f aca="false">IFERROR(SUMIFS(Data!$E$3:$E$122,Data!$A$3:$A$122,A6,Data!$B$3:$B$122,2024),"n/a")</f>
        <v>1059.93709298801</v>
      </c>
      <c r="F6" s="21" t="n">
        <f aca="false">IFERROR(SUMIFS(Data!$F$3:$F$122,Data!$A$3:$A$122,A6,Data!$B$3:$B$122,2024),"n/a")</f>
        <v>1.77029240198635</v>
      </c>
      <c r="G6" s="21" t="n">
        <f aca="false">IFERROR(SUMIFS(Data!$G$3:$G$122,Data!$A$3:$A$122,A6,Data!$B$3:$B$122,2024),"n/a")</f>
        <v>3.79145567191588</v>
      </c>
    </row>
    <row r="7" customFormat="false" ht="15" hidden="false" customHeight="false" outlineLevel="0" collapsed="false">
      <c r="A7" s="18" t="s">
        <v>31</v>
      </c>
      <c r="B7" s="19" t="n">
        <v>2024</v>
      </c>
      <c r="C7" s="20" t="n">
        <f aca="false">IFERROR(SUMIFS(Data!$C$3:$C$122,Data!$A$3:$A$122,A7,Data!$B$3:$B$122,2024),"n/a")</f>
        <v>149740297952.375</v>
      </c>
      <c r="D7" s="21" t="n">
        <f aca="false">IFERROR(SUMIFS(Data!$D$3:$D$122,Data!$A$3:$A$122,A7,Data!$B$3:$B$122,2024),"n/a")</f>
        <v>7.61277447616879</v>
      </c>
      <c r="E7" s="22" t="n">
        <f aca="false">IFERROR(SUMIFS(Data!$E$3:$E$122,Data!$A$3:$A$122,A7,Data!$B$3:$B$122,2024),"n/a")</f>
        <v>1133.88279681256</v>
      </c>
      <c r="F7" s="21" t="n">
        <f aca="false">IFERROR(SUMIFS(Data!$F$3:$F$122,Data!$A$3:$A$122,A7,Data!$B$3:$B$122,2024),"n/a")</f>
        <v>21.0377460577711</v>
      </c>
      <c r="G7" s="21" t="n">
        <f aca="false">IFERROR(SUMIFS(Data!$G$3:$G$122,Data!$A$3:$A$122,A7,Data!$B$3:$B$122,2024),"n/a")</f>
        <v>2.68582028017543</v>
      </c>
    </row>
    <row r="8" customFormat="false" ht="15" hidden="false" customHeight="false" outlineLevel="0" collapsed="false">
      <c r="A8" s="18" t="s">
        <v>32</v>
      </c>
      <c r="B8" s="19" t="n">
        <v>2024</v>
      </c>
      <c r="C8" s="20" t="n">
        <f aca="false">IFERROR(SUMIFS(Data!$C$3:$C$122,Data!$A$3:$A$122,A8,Data!$B$3:$B$122,2024),"n/a")</f>
        <v>552324919095.872</v>
      </c>
      <c r="D8" s="21" t="n">
        <f aca="false">IFERROR(SUMIFS(Data!$D$3:$D$122,Data!$A$3:$A$122,A8,Data!$B$3:$B$122,2024),"n/a")</f>
        <v>3.99181200361831</v>
      </c>
      <c r="E8" s="22" t="n">
        <f aca="false">IFERROR(SUMIFS(Data!$E$3:$E$122,Data!$A$3:$A$122,A8,Data!$B$3:$B$122,2024),"n/a")</f>
        <v>50273.5126243239</v>
      </c>
      <c r="F8" s="21" t="n">
        <f aca="false">IFERROR(SUMIFS(Data!$F$3:$F$122,Data!$A$3:$A$122,A8,Data!$B$3:$B$122,2024),"n/a")</f>
        <v>1.66336510224894</v>
      </c>
      <c r="G8" s="21" t="n">
        <f aca="false">IFERROR(SUMIFS(Data!$G$3:$G$122,Data!$A$3:$A$122,A8,Data!$B$3:$B$122,2024),"n/a")</f>
        <v>8.26261604873876</v>
      </c>
    </row>
    <row r="9" customFormat="false" ht="15" hidden="false" customHeight="false" outlineLevel="0" collapsed="false">
      <c r="A9" s="18" t="s">
        <v>33</v>
      </c>
      <c r="B9" s="19" t="n">
        <v>2024</v>
      </c>
      <c r="C9" s="20" t="n">
        <f aca="false">IFERROR(SUMIFS(Data!$C$3:$C$122,Data!$A$3:$A$122,A9,Data!$B$3:$B$122,2024),"n/a")</f>
        <v>3037579858.38142</v>
      </c>
      <c r="D9" s="21" t="n">
        <f aca="false">IFERROR(SUMIFS(Data!$D$3:$D$122,Data!$A$3:$A$122,A9,Data!$B$3:$B$122,2024),"n/a")</f>
        <v>4.11227376394912</v>
      </c>
      <c r="E9" s="22" t="n">
        <f aca="false">IFERROR(SUMIFS(Data!$E$3:$E$122,Data!$A$3:$A$122,A9,Data!$B$3:$B$122,2024),"n/a")</f>
        <v>216.231928531758</v>
      </c>
      <c r="F9" s="21" t="n">
        <f aca="false">IFERROR(SUMIFS(Data!$F$3:$F$122,Data!$A$3:$A$122,A9,Data!$B$3:$B$122,2024),"n/a")</f>
        <v>20.2124925027847</v>
      </c>
      <c r="G9" s="21" t="n">
        <f aca="false">IFERROR(SUMIFS(Data!$G$3:$G$122,Data!$A$3:$A$122,A9,Data!$B$3:$B$122,2024),"n/a")</f>
        <v>1.0970222856868</v>
      </c>
    </row>
    <row r="10" customFormat="false" ht="15" hidden="false" customHeight="false" outlineLevel="0" collapsed="false">
      <c r="A10" s="18" t="s">
        <v>34</v>
      </c>
      <c r="B10" s="19" t="n">
        <v>2024</v>
      </c>
      <c r="C10" s="20" t="n">
        <f aca="false">IFERROR(SUMIFS(Data!$C$3:$C$122,Data!$A$3:$A$122,A10,Data!$B$3:$B$122,2024),"n/a")</f>
        <v>1610082688.26617</v>
      </c>
      <c r="D10" s="21" t="n">
        <f aca="false">IFERROR(SUMIFS(Data!$D$3:$D$122,Data!$A$3:$A$122,A10,Data!$B$3:$B$122,2024),"n/a")</f>
        <v>3.30071498500033</v>
      </c>
      <c r="E10" s="22" t="n">
        <f aca="false">IFERROR(SUMIFS(Data!$E$3:$E$122,Data!$A$3:$A$122,A10,Data!$B$3:$B$122,2024),"n/a")</f>
        <v>1857.87060684189</v>
      </c>
      <c r="F10" s="21" t="n">
        <f aca="false">IFERROR(SUMIFS(Data!$F$3:$F$122,Data!$A$3:$A$122,A10,Data!$B$3:$B$122,2024),"n/a")</f>
        <v>5.05192609588218</v>
      </c>
      <c r="G10" s="21" t="n">
        <f aca="false">IFERROR(SUMIFS(Data!$G$3:$G$122,Data!$A$3:$A$122,A10,Data!$B$3:$B$122,2024),"n/a")</f>
        <v>0.440971140907408</v>
      </c>
    </row>
    <row r="11" customFormat="false" ht="15" hidden="false" customHeight="false" outlineLevel="0" collapsed="false">
      <c r="A11" s="18" t="s">
        <v>35</v>
      </c>
      <c r="B11" s="19" t="n">
        <v>2024</v>
      </c>
      <c r="C11" s="20" t="n">
        <f aca="false">IFERROR(SUMIFS(Data!$C$3:$C$122,Data!$A$3:$A$122,A11,Data!$B$3:$B$122,2024),"n/a")</f>
        <v>4152145939.98458</v>
      </c>
      <c r="D11" s="21" t="n">
        <f aca="false">IFERROR(SUMIFS(Data!$D$3:$D$122,Data!$A$3:$A$122,A11,Data!$B$3:$B$122,2024),"n/a")</f>
        <v>6.98048467276334</v>
      </c>
      <c r="E11" s="22" t="n">
        <f aca="false">IFERROR(SUMIFS(Data!$E$3:$E$122,Data!$A$3:$A$122,A11,Data!$B$3:$B$122,2024),"n/a")</f>
        <v>3552.72335079222</v>
      </c>
      <c r="F11" s="21" t="n">
        <f aca="false">IFERROR(SUMIFS(Data!$F$3:$F$122,Data!$A$3:$A$122,A11,Data!$B$3:$B$122,2024),"n/a")</f>
        <v>2.1120116728497</v>
      </c>
      <c r="G11" s="21" t="n">
        <f aca="false">IFERROR(SUMIFS(Data!$G$3:$G$122,Data!$A$3:$A$122,A11,Data!$B$3:$B$122,2024),"n/a")</f>
        <v>1.63337101411676</v>
      </c>
    </row>
    <row r="12" customFormat="false" ht="15" hidden="false" customHeight="false" outlineLevel="0" collapsed="false">
      <c r="A12" s="18" t="s">
        <v>36</v>
      </c>
      <c r="B12" s="19" t="n">
        <v>2024</v>
      </c>
      <c r="C12" s="20" t="n">
        <f aca="false">IFERROR(SUMIFS(Data!$C$3:$C$122,Data!$A$3:$A$122,A12,Data!$B$3:$B$122,2024),"n/a")</f>
        <v>75716176105.0704</v>
      </c>
      <c r="D12" s="21" t="n">
        <f aca="false">IFERROR(SUMIFS(Data!$D$3:$D$122,Data!$A$3:$A$122,A12,Data!$B$3:$B$122,2024),"n/a")</f>
        <v>6.1025294442863</v>
      </c>
      <c r="E12" s="22" t="n">
        <f aca="false">IFERROR(SUMIFS(Data!$E$3:$E$122,Data!$A$3:$A$122,A12,Data!$B$3:$B$122,2024),"n/a")</f>
        <v>692.887665085098</v>
      </c>
      <c r="F12" s="21" t="s">
        <v>48</v>
      </c>
      <c r="G12" s="21" t="n">
        <f aca="false">IFERROR(SUMIFS(Data!$G$3:$G$122,Data!$A$3:$A$122,A12,Data!$B$3:$B$122,2024),"n/a")</f>
        <v>3.84997694352814</v>
      </c>
    </row>
    <row r="13" customFormat="false" ht="15" hidden="false" customHeight="false" outlineLevel="0" collapsed="false">
      <c r="A13" s="18" t="s">
        <v>37</v>
      </c>
      <c r="B13" s="19" t="s">
        <v>48</v>
      </c>
      <c r="C13" s="20" t="s">
        <v>48</v>
      </c>
      <c r="D13" s="21" t="s">
        <v>48</v>
      </c>
      <c r="E13" s="22" t="s">
        <v>48</v>
      </c>
      <c r="F13" s="21" t="s">
        <v>48</v>
      </c>
      <c r="G13" s="21" t="s">
        <v>48</v>
      </c>
    </row>
    <row r="14" customFormat="false" ht="15" hidden="false" customHeight="false" outlineLevel="0" collapsed="false">
      <c r="A14" s="18" t="s">
        <v>38</v>
      </c>
      <c r="B14" s="19" t="n">
        <v>2024</v>
      </c>
      <c r="C14" s="20" t="n">
        <f aca="false">IFERROR(SUMIFS(Data!$C$3:$C$122,Data!$A$3:$A$122,A14,Data!$B$3:$B$122,2024),"n/a")</f>
        <v>17592832696.1336</v>
      </c>
      <c r="D14" s="21" t="n">
        <f aca="false">IFERROR(SUMIFS(Data!$D$3:$D$122,Data!$A$3:$A$122,A14,Data!$B$3:$B$122,2024),"n/a")</f>
        <v>4.32283728087992</v>
      </c>
      <c r="E14" s="22" t="n">
        <f aca="false">IFERROR(SUMIFS(Data!$E$3:$E$122,Data!$A$3:$A$122,A14,Data!$B$3:$B$122,2024),"n/a")</f>
        <v>550.37875528856</v>
      </c>
      <c r="F14" s="21" t="n">
        <f aca="false">IFERROR(SUMIFS(Data!$F$3:$F$122,Data!$A$3:$A$122,A14,Data!$B$3:$B$122,2024),"n/a")</f>
        <v>7.61335784313723</v>
      </c>
      <c r="G14" s="21" t="n">
        <f aca="false">IFERROR(SUMIFS(Data!$G$3:$G$122,Data!$A$3:$A$122,A14,Data!$B$3:$B$122,2024),"n/a")</f>
        <v>3.44577112659577</v>
      </c>
    </row>
    <row r="15" customFormat="false" ht="15" hidden="false" customHeight="false" outlineLevel="0" collapsed="false">
      <c r="A15" s="18" t="s">
        <v>39</v>
      </c>
      <c r="B15" s="19" t="n">
        <v>2024</v>
      </c>
      <c r="C15" s="20" t="n">
        <f aca="false">IFERROR(SUMIFS(Data!$C$3:$C$122,Data!$A$3:$A$122,A15,Data!$B$3:$B$122,2024),"n/a")</f>
        <v>11311971400.3864</v>
      </c>
      <c r="D15" s="21" t="n">
        <f aca="false">IFERROR(SUMIFS(Data!$D$3:$D$122,Data!$A$3:$A$122,A15,Data!$B$3:$B$122,2024),"n/a")</f>
        <v>1.6734340852915</v>
      </c>
      <c r="E15" s="22" t="n">
        <f aca="false">IFERROR(SUMIFS(Data!$E$3:$E$122,Data!$A$3:$A$122,A15,Data!$B$3:$B$122,2024),"n/a")</f>
        <v>522.365366146003</v>
      </c>
      <c r="F15" s="21" t="n">
        <f aca="false">IFERROR(SUMIFS(Data!$F$3:$F$122,Data!$A$3:$A$122,A15,Data!$B$3:$B$122,2024),"n/a")</f>
        <v>32.1796504225025</v>
      </c>
      <c r="G15" s="21" t="n">
        <f aca="false">IFERROR(SUMIFS(Data!$G$3:$G$122,Data!$A$3:$A$122,A15,Data!$B$3:$B$122,2024),"n/a")</f>
        <v>2.28053083149593</v>
      </c>
    </row>
    <row r="16" customFormat="false" ht="15" hidden="false" customHeight="false" outlineLevel="0" collapsed="false">
      <c r="A16" s="18" t="s">
        <v>40</v>
      </c>
      <c r="B16" s="19" t="n">
        <v>2024</v>
      </c>
      <c r="C16" s="20" t="n">
        <f aca="false">IFERROR(SUMIFS(Data!$C$3:$C$122,Data!$A$3:$A$122,A16,Data!$B$3:$B$122,2024),"n/a")</f>
        <v>14938055690.3609</v>
      </c>
      <c r="D16" s="21" t="n">
        <f aca="false">IFERROR(SUMIFS(Data!$D$3:$D$122,Data!$A$3:$A$122,A16,Data!$B$3:$B$122,2024),"n/a")</f>
        <v>4.94844235250574</v>
      </c>
      <c r="E16" s="22" t="n">
        <f aca="false">IFERROR(SUMIFS(Data!$E$3:$E$122,Data!$A$3:$A$122,A16,Data!$B$3:$B$122,2024),"n/a")</f>
        <v>11990.9355434317</v>
      </c>
      <c r="F16" s="21" t="n">
        <f aca="false">IFERROR(SUMIFS(Data!$F$3:$F$122,Data!$A$3:$A$122,A16,Data!$B$3:$B$122,2024),"n/a")</f>
        <v>3.6045220384796</v>
      </c>
      <c r="G16" s="21" t="n">
        <f aca="false">IFERROR(SUMIFS(Data!$G$3:$G$122,Data!$A$3:$A$122,A16,Data!$B$3:$B$122,2024),"n/a")</f>
        <v>4.56067539257877</v>
      </c>
    </row>
    <row r="17" customFormat="false" ht="15" hidden="false" customHeight="false" outlineLevel="0" collapsed="false">
      <c r="A17" s="18" t="s">
        <v>41</v>
      </c>
      <c r="B17" s="19" t="n">
        <v>2024</v>
      </c>
      <c r="C17" s="20" t="n">
        <f aca="false">IFERROR(SUMIFS(Data!$C$3:$C$122,Data!$A$3:$A$122,A17,Data!$B$3:$B$122,2024),"n/a")</f>
        <v>22752244245.473</v>
      </c>
      <c r="D17" s="21" t="n">
        <f aca="false">IFERROR(SUMIFS(Data!$D$3:$D$122,Data!$A$3:$A$122,A17,Data!$B$3:$B$122,2024),"n/a")</f>
        <v>2.14892499135355</v>
      </c>
      <c r="E17" s="22" t="n">
        <f aca="false">IFERROR(SUMIFS(Data!$E$3:$E$122,Data!$A$3:$A$122,A17,Data!$B$3:$B$122,2024),"n/a")</f>
        <v>656.976148587772</v>
      </c>
      <c r="F17" s="21" t="n">
        <f aca="false">IFERROR(SUMIFS(Data!$F$3:$F$122,Data!$A$3:$A$122,A17,Data!$B$3:$B$122,2024),"n/a")</f>
        <v>4.07856834812022</v>
      </c>
      <c r="G17" s="21" t="n">
        <f aca="false">IFERROR(SUMIFS(Data!$G$3:$G$122,Data!$A$3:$A$122,A17,Data!$B$3:$B$122,2024),"n/a")</f>
        <v>15.4210115464394</v>
      </c>
    </row>
    <row r="18" customFormat="false" ht="15" hidden="false" customHeight="false" outlineLevel="0" collapsed="false">
      <c r="A18" s="18" t="s">
        <v>42</v>
      </c>
      <c r="B18" s="19" t="n">
        <v>2024</v>
      </c>
      <c r="C18" s="20" t="n">
        <f aca="false">IFERROR(SUMIFS(Data!$C$3:$C$122,Data!$A$3:$A$122,A18,Data!$B$3:$B$122,2024),"n/a")</f>
        <v>2228608684.29911</v>
      </c>
      <c r="D18" s="21" t="n">
        <f aca="false">IFERROR(SUMIFS(Data!$D$3:$D$122,Data!$A$3:$A$122,A18,Data!$B$3:$B$122,2024),"n/a")</f>
        <v>3.34667429007052</v>
      </c>
      <c r="E18" s="22" t="n">
        <f aca="false">IFERROR(SUMIFS(Data!$E$3:$E$122,Data!$A$3:$A$122,A18,Data!$B$3:$B$122,2024),"n/a")</f>
        <v>18364.5259678223</v>
      </c>
      <c r="F18" s="21" t="n">
        <f aca="false">IFERROR(SUMIFS(Data!$F$3:$F$122,Data!$A$3:$A$122,A18,Data!$B$3:$B$122,2024),"n/a")</f>
        <v>0.311726050919668</v>
      </c>
      <c r="G18" s="21" t="n">
        <f aca="false">IFERROR(SUMIFS(Data!$G$3:$G$122,Data!$A$3:$A$122,A18,Data!$B$3:$B$122,2024),"n/a")</f>
        <v>10.1468739688419</v>
      </c>
    </row>
    <row r="19" customFormat="false" ht="15" hidden="false" customHeight="false" outlineLevel="0" collapsed="false">
      <c r="A19" s="18" t="s">
        <v>43</v>
      </c>
      <c r="B19" s="19" t="n">
        <v>2024</v>
      </c>
      <c r="C19" s="20" t="n">
        <f aca="false">IFERROR(SUMIFS(Data!$C$3:$C$122,Data!$A$3:$A$122,A19,Data!$B$3:$B$122,2024),"n/a")</f>
        <v>11967000000</v>
      </c>
      <c r="D19" s="21" t="n">
        <f aca="false">IFERROR(SUMIFS(Data!$D$3:$D$122,Data!$A$3:$A$122,A19,Data!$B$3:$B$122,2024),"n/a")</f>
        <v>4.11139335779471</v>
      </c>
      <c r="E19" s="22" t="n">
        <f aca="false">IFERROR(SUMIFS(Data!$E$3:$E$122,Data!$A$3:$A$122,A19,Data!$B$3:$B$122,2024),"n/a")</f>
        <v>629.538899449007</v>
      </c>
      <c r="F19" s="21" t="s">
        <v>48</v>
      </c>
      <c r="G19" s="21" t="n">
        <f aca="false">IFERROR(SUMIFS(Data!$G$3:$G$122,Data!$A$3:$A$122,A19,Data!$B$3:$B$122,2024),"n/a")</f>
        <v>6.39257959388318</v>
      </c>
    </row>
    <row r="20" customFormat="false" ht="15" hidden="false" customHeight="false" outlineLevel="0" collapsed="false">
      <c r="A20" s="18" t="s">
        <v>44</v>
      </c>
      <c r="B20" s="19" t="s">
        <v>48</v>
      </c>
      <c r="C20" s="20" t="s">
        <v>48</v>
      </c>
      <c r="D20" s="21" t="s">
        <v>48</v>
      </c>
      <c r="E20" s="22" t="s">
        <v>48</v>
      </c>
      <c r="F20" s="21" t="n">
        <f aca="false">IFERROR(SUMIFS(Data!$F$3:$F$122,Data!$A$3:$A$122,A20,Data!$B$3:$B$122,2024),"n/a")</f>
        <v>91.4408220769046</v>
      </c>
      <c r="G20" s="21" t="s">
        <v>48</v>
      </c>
    </row>
    <row r="21" customFormat="false" ht="15" hidden="false" customHeight="false" outlineLevel="0" collapsed="false">
      <c r="A21" s="18" t="s">
        <v>45</v>
      </c>
      <c r="B21" s="19" t="n">
        <v>2024</v>
      </c>
      <c r="C21" s="20" t="n">
        <f aca="false">IFERROR(SUMIFS(Data!$C$3:$C$122,Data!$A$3:$A$122,A21,Data!$B$3:$B$122,2024),"n/a")</f>
        <v>25303185342.2511</v>
      </c>
      <c r="D21" s="21" t="n">
        <f aca="false">IFERROR(SUMIFS(Data!$D$3:$D$122,Data!$A$3:$A$122,A21,Data!$B$3:$B$122,2024),"n/a")</f>
        <v>3.82004825518591</v>
      </c>
      <c r="E21" s="22" t="n">
        <f aca="false">IFERROR(SUMIFS(Data!$E$3:$E$122,Data!$A$3:$A$122,A21,Data!$B$3:$B$122,2024),"n/a")</f>
        <v>1187.10943350064</v>
      </c>
      <c r="F21" s="21" t="n">
        <f aca="false">IFERROR(SUMIFS(Data!$F$3:$F$122,Data!$A$3:$A$122,A21,Data!$B$3:$B$122,2024),"n/a")</f>
        <v>14.9856262747939</v>
      </c>
      <c r="G21" s="21" t="n">
        <f aca="false">IFERROR(SUMIFS(Data!$G$3:$G$122,Data!$A$3:$A$122,A21,Data!$B$3:$B$122,2024),"n/a")</f>
        <v>9.32437789659637</v>
      </c>
    </row>
    <row r="22" customFormat="false" ht="15" hidden="false" customHeight="false" outlineLevel="0" collapsed="false">
      <c r="A22" s="18" t="s">
        <v>46</v>
      </c>
      <c r="B22" s="19" t="n">
        <v>2024</v>
      </c>
      <c r="C22" s="20" t="n">
        <f aca="false">IFERROR(SUMIFS(Data!$C$3:$C$122,Data!$A$3:$A$122,A22,Data!$B$3:$B$122,2024),"n/a")</f>
        <v>41521975830.2351</v>
      </c>
      <c r="D22" s="21" t="n">
        <f aca="false">IFERROR(SUMIFS(Data!$D$3:$D$122,Data!$A$3:$A$122,A22,Data!$B$3:$B$122,2024),"n/a")</f>
        <v>1.67649454921512</v>
      </c>
      <c r="E22" s="22" t="n">
        <f aca="false">IFERROR(SUMIFS(Data!$E$3:$E$122,Data!$A$3:$A$122,A22,Data!$B$3:$B$122,2024),"n/a")</f>
        <v>2496.15514995576</v>
      </c>
      <c r="F22" s="21" t="n">
        <f aca="false">IFERROR(SUMIFS(Data!$F$3:$F$122,Data!$A$3:$A$122,A22,Data!$B$3:$B$122,2022),"n/a")</f>
        <v>104.705170628667</v>
      </c>
      <c r="G22" s="21" t="n">
        <f aca="false">IFERROR(SUMIFS(Data!$G$3:$G$122,Data!$A$3:$A$122,A22,Data!$B$3:$B$122,2024),"n/a")</f>
        <v>1.12093172517355</v>
      </c>
    </row>
  </sheetData>
  <autoFilter ref="A2:G22"/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2026-09-05T08:07:42Z</dcterms:created>
  <dc:creator>openpyxl</dc:creator>
  <dc:description/>
  <dc:language>en-US</dc:language>
  <cp:lastModifiedBy/>
  <dcterms:modified xsi:type="dcterms:W3CDTF">2026-09-05T08:07:42Z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