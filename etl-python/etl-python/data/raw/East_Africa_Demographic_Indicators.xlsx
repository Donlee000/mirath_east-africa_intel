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7A49D9-3574-4592-983D-BDE59AEE49EF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Overview" sheetId="1" r:id="rId1"/>
    <sheet name="Data" sheetId="2" r:id="rId2"/>
    <sheet name="2023 Latest Snapshot" sheetId="3" r:id="rId3"/>
  </sheets>
  <definedNames>
    <definedName name="_xlnm._FilterDatabase" localSheetId="2" hidden="1">'2023 Latest Snapshot'!$A$2:$J$21</definedName>
    <definedName name="_xlnm._FilterDatabase" localSheetId="1" hidden="1">Data!$A$2:$K$97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1" i="3" l="1"/>
  <c r="I21" i="3"/>
  <c r="G21" i="3"/>
  <c r="F21" i="3"/>
  <c r="E21" i="3"/>
  <c r="D21" i="3"/>
  <c r="C21" i="3"/>
  <c r="B21" i="3"/>
  <c r="J20" i="3"/>
  <c r="I20" i="3"/>
  <c r="G20" i="3"/>
  <c r="F20" i="3"/>
  <c r="E20" i="3"/>
  <c r="D20" i="3"/>
  <c r="C20" i="3"/>
  <c r="B20" i="3"/>
  <c r="J19" i="3"/>
  <c r="I19" i="3"/>
  <c r="G19" i="3"/>
  <c r="F19" i="3"/>
  <c r="E19" i="3"/>
  <c r="D19" i="3"/>
  <c r="C19" i="3"/>
  <c r="B19" i="3"/>
  <c r="J18" i="3"/>
  <c r="I18" i="3"/>
  <c r="G18" i="3"/>
  <c r="F18" i="3"/>
  <c r="E18" i="3"/>
  <c r="D18" i="3"/>
  <c r="C18" i="3"/>
  <c r="B18" i="3"/>
  <c r="J17" i="3"/>
  <c r="I17" i="3"/>
  <c r="G17" i="3"/>
  <c r="F17" i="3"/>
  <c r="E17" i="3"/>
  <c r="D17" i="3"/>
  <c r="C17" i="3"/>
  <c r="B17" i="3"/>
  <c r="J16" i="3"/>
  <c r="I16" i="3"/>
  <c r="G16" i="3"/>
  <c r="F16" i="3"/>
  <c r="E16" i="3"/>
  <c r="D16" i="3"/>
  <c r="C16" i="3"/>
  <c r="B16" i="3"/>
  <c r="J15" i="3"/>
  <c r="I15" i="3"/>
  <c r="G15" i="3"/>
  <c r="F15" i="3"/>
  <c r="D15" i="3"/>
  <c r="C15" i="3"/>
  <c r="B15" i="3"/>
  <c r="J14" i="3"/>
  <c r="I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B4" i="3"/>
  <c r="J3" i="3"/>
  <c r="I3" i="3"/>
  <c r="H3" i="3"/>
  <c r="G3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<sst xmlns="http://schemas.openxmlformats.org/spreadsheetml/2006/main" count="182" uniqueCount="58">
  <si>
    <t>East African Countries — Social &amp; Demographic Indicators</t>
  </si>
  <si>
    <t>Restructured from the original UIS Data Browser export you shared, using the WITS Kenya product workbook's flat-table layout as the structural guide.</t>
  </si>
  <si>
    <t>How this workbook is organized</t>
  </si>
  <si>
    <t>This file replaces the original page-by-page (A, B, C ...) layout with a single structured dataset, modeled on the flat, one-row-per-record layout used in the WITS Kenya product-trade workbook you shared: identifier columns (Country, Year) on the left, every measure as its own column to the right, grouped and color-coded by theme instead of split into separate lettered pages.</t>
  </si>
  <si>
    <t>Sheet</t>
  </si>
  <si>
    <t>Contents</t>
  </si>
  <si>
    <t>Data</t>
  </si>
  <si>
    <t>One row per country/year, with every indicator as its own column, grouped and color-banded by theme.</t>
  </si>
  <si>
    <t>Latest Snapshot</t>
  </si>
  <si>
    <t>One row per country with each indicator's most recently available value, pulled live from the Data sheet with formulas.</t>
  </si>
  <si>
    <t>Theme groupings</t>
  </si>
  <si>
    <t>Theme</t>
  </si>
  <si>
    <t>Indicators included</t>
  </si>
  <si>
    <t>Fertility &amp; Reproductive Health</t>
  </si>
  <si>
    <t>Fertility rate, total (births per woman)</t>
  </si>
  <si>
    <t>Mortality &amp; Life Expectancy</t>
  </si>
  <si>
    <t>Life expectancy at birth, total (years); Mortality rate, infant (per 1,000 live births); Prevalence of HIV, total (% of population ages 15-49)</t>
  </si>
  <si>
    <t>Population Growth &amp; Age Structure</t>
  </si>
  <si>
    <t>Population growth (annual %); Population aged 15-24 years (thousands); Population aged 25-64 years (thousands); Population aged 65 years or older (thousands)</t>
  </si>
  <si>
    <t>Urbanization &amp; Settlement</t>
  </si>
  <si>
    <t>Rural population (% of total population)</t>
  </si>
  <si>
    <t>Data notes (carried over from the original source files)</t>
  </si>
  <si>
    <t>• Source: UIS Data Browser (databrowser.uis.unesco.org).</t>
  </si>
  <si>
    <t>• Most indicators cover 2020-2023. Population growth and HIV prevalence extend through 2024; all other indicators have no 2024 figures in the source, so those cells are blank for 2024 rather than zero.</t>
  </si>
  <si>
    <t>• Mauritius and Seychelles have no HIV prevalence data in the source view.</t>
  </si>
  <si>
    <t>• Population aged 25-64 (thousands): Rwanda through Zimbabwe (8 countries) could not be transcribed from the original source screenshots (a duplicated page image) and are blank here pending the original data.</t>
  </si>
  <si>
    <t>• Population growth for Seychelles is blank for 2022 in the source (data gap, not zero).</t>
  </si>
  <si>
    <t>• Somalia's infant mortality rate shows an unusual spike to 89.90 in 2022 versus 71.80 (2021) and 67.80 (2023); transcribed exactly as it appeared in the source.</t>
  </si>
  <si>
    <t>• All blank cells reflect no data available in the original source, not a value of zero.</t>
  </si>
  <si>
    <t>Country</t>
  </si>
  <si>
    <t>Year</t>
  </si>
  <si>
    <t>Life expectancy at birth, total (years)</t>
  </si>
  <si>
    <t>Mortality rate, infant (per 1,000 live births)</t>
  </si>
  <si>
    <t>Prevalence of HIV, total (% of population ages 15-49)</t>
  </si>
  <si>
    <t>Population growth (annual %)</t>
  </si>
  <si>
    <t>Population aged 15-24 years (thousands)</t>
  </si>
  <si>
    <t>Population aged 25-64 years (thousands)</t>
  </si>
  <si>
    <t>Population aged 65 years or older (thousands)</t>
  </si>
  <si>
    <t>Burundi</t>
  </si>
  <si>
    <t>Comoros</t>
  </si>
  <si>
    <t>Democratic Republic of the Congo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</si>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</sst>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#,##0.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9"/>
      <color rgb="FF1F4E78"/>
      <name val="Arial"/>
      <charset val="1"/>
    </font>
    <font>
      <b/>
      <sz val="9"/>
      <color rgb="FF375623"/>
      <name val="Arial"/>
      <charset val="1"/>
    </font>
    <font>
      <b/>
      <sz val="9"/>
      <color rgb="FF833C0C"/>
      <name val="Arial"/>
      <charset val="1"/>
    </font>
    <font>
      <b/>
      <sz val="9"/>
      <color rgb="FF5F3F80"/>
      <name val="Arial"/>
      <charset val="1"/>
    </font>
    <font>
      <i/>
      <sz val="10"/>
      <color rgb="FF99999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4DFEC"/>
      </patternFill>
    </fill>
    <fill>
      <patternFill patternType="solid">
        <fgColor rgb="FFE4DFEC"/>
        <bgColor rgb="FFDDEBF7"/>
      </patternFill>
    </fill>
    <fill>
      <patternFill patternType="solid">
        <fgColor rgb="FF404040"/>
        <bgColor rgb="FF375623"/>
      </patternFill>
    </fill>
    <fill>
      <patternFill patternType="solid">
        <fgColor rgb="FF375623"/>
        <bgColor rgb="FF404040"/>
      </patternFill>
    </fill>
    <fill>
      <patternFill patternType="solid">
        <fgColor rgb="FF833C0C"/>
        <bgColor rgb="FF993366"/>
      </patternFill>
    </fill>
    <fill>
      <patternFill patternType="solid">
        <fgColor rgb="FF5F3F80"/>
        <bgColor rgb="FF555555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7" borderId="0" xfId="0" applyFont="1" applyFill="1"/>
    <xf numFmtId="0" fontId="8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1" xfId="0" applyNumberFormat="1" applyFont="1" applyBorder="1"/>
    <xf numFmtId="2" fontId="4" fillId="11" borderId="1" xfId="0" applyNumberFormat="1" applyFont="1" applyFill="1" applyBorder="1"/>
    <xf numFmtId="164" fontId="4" fillId="11" borderId="1" xfId="0" applyNumberFormat="1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13" fillId="11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5F3F80"/>
      <rgbColor rgb="FFF7F7F7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75623"/>
      <rgbColor rgb="FF833C0C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92" customWidth="1"/>
  </cols>
  <sheetData>
    <row r="1" spans="1:2" ht="30" customHeight="1" x14ac:dyDescent="0.3">
      <c r="A1" s="8" t="s">
        <v>0</v>
      </c>
      <c r="B1" s="8"/>
    </row>
    <row r="3" spans="1:2" x14ac:dyDescent="0.3">
      <c r="A3" s="7" t="s">
        <v>1</v>
      </c>
      <c r="B3" s="7"/>
    </row>
    <row r="5" spans="1:2" ht="15.6" x14ac:dyDescent="0.3">
      <c r="A5" s="9" t="s">
        <v>2</v>
      </c>
    </row>
    <row r="6" spans="1:2" ht="15" customHeight="1" x14ac:dyDescent="0.3">
      <c r="A6" s="6" t="s">
        <v>3</v>
      </c>
      <c r="B6" s="6"/>
    </row>
    <row r="7" spans="1:2" x14ac:dyDescent="0.3">
      <c r="A7" s="6"/>
      <c r="B7" s="6"/>
    </row>
    <row r="8" spans="1:2" x14ac:dyDescent="0.3">
      <c r="A8" s="6"/>
      <c r="B8" s="6"/>
    </row>
    <row r="10" spans="1:2" x14ac:dyDescent="0.3">
      <c r="A10" s="10" t="s">
        <v>4</v>
      </c>
      <c r="B10" s="10" t="s">
        <v>5</v>
      </c>
    </row>
    <row r="11" spans="1:2" ht="28.2" x14ac:dyDescent="0.3">
      <c r="A11" s="11" t="s">
        <v>6</v>
      </c>
      <c r="B11" s="12" t="s">
        <v>7</v>
      </c>
    </row>
    <row r="12" spans="1:2" ht="28.2" x14ac:dyDescent="0.3">
      <c r="A12" s="11" t="s">
        <v>8</v>
      </c>
      <c r="B12" s="12" t="s">
        <v>9</v>
      </c>
    </row>
    <row r="14" spans="1:2" ht="15.6" x14ac:dyDescent="0.3">
      <c r="A14" s="9" t="s">
        <v>10</v>
      </c>
    </row>
    <row r="15" spans="1:2" x14ac:dyDescent="0.3">
      <c r="A15" s="10" t="s">
        <v>11</v>
      </c>
      <c r="B15" s="10" t="s">
        <v>12</v>
      </c>
    </row>
    <row r="16" spans="1:2" ht="15" customHeight="1" x14ac:dyDescent="0.3">
      <c r="A16" s="13" t="s">
        <v>13</v>
      </c>
      <c r="B16" s="14" t="s">
        <v>14</v>
      </c>
    </row>
    <row r="17" spans="1:2" ht="24" customHeight="1" x14ac:dyDescent="0.3">
      <c r="A17" s="15" t="s">
        <v>15</v>
      </c>
      <c r="B17" s="14" t="s">
        <v>16</v>
      </c>
    </row>
    <row r="18" spans="1:2" ht="24" customHeight="1" x14ac:dyDescent="0.3">
      <c r="A18" s="16" t="s">
        <v>17</v>
      </c>
      <c r="B18" s="14" t="s">
        <v>18</v>
      </c>
    </row>
    <row r="19" spans="1:2" ht="15" customHeight="1" x14ac:dyDescent="0.3">
      <c r="A19" s="17" t="s">
        <v>19</v>
      </c>
      <c r="B19" s="14" t="s">
        <v>20</v>
      </c>
    </row>
    <row r="21" spans="1:2" ht="15.6" x14ac:dyDescent="0.3">
      <c r="A21" s="9" t="s">
        <v>21</v>
      </c>
    </row>
    <row r="22" spans="1:2" ht="15" customHeight="1" x14ac:dyDescent="0.3">
      <c r="A22" s="5" t="s">
        <v>22</v>
      </c>
      <c r="B22" s="5"/>
    </row>
    <row r="23" spans="1:2" ht="22.35" customHeight="1" x14ac:dyDescent="0.3">
      <c r="A23" s="5" t="s">
        <v>23</v>
      </c>
      <c r="B23" s="5"/>
    </row>
    <row r="24" spans="1:2" ht="15" customHeight="1" x14ac:dyDescent="0.3">
      <c r="A24" s="5" t="s">
        <v>24</v>
      </c>
      <c r="B24" s="5"/>
    </row>
    <row r="25" spans="1:2" ht="22.35" customHeight="1" x14ac:dyDescent="0.3">
      <c r="A25" s="5" t="s">
        <v>25</v>
      </c>
      <c r="B25" s="5"/>
    </row>
    <row r="26" spans="1:2" ht="15" customHeight="1" x14ac:dyDescent="0.3">
      <c r="A26" s="5" t="s">
        <v>26</v>
      </c>
      <c r="B26" s="5"/>
    </row>
    <row r="27" spans="1:2" ht="15" customHeight="1" x14ac:dyDescent="0.3">
      <c r="A27" s="5" t="s">
        <v>27</v>
      </c>
      <c r="B27" s="5"/>
    </row>
    <row r="28" spans="1:2" ht="15" customHeight="1" x14ac:dyDescent="0.3">
      <c r="A28" s="5" t="s">
        <v>28</v>
      </c>
      <c r="B28" s="5"/>
    </row>
  </sheetData>
  <mergeCells count="10">
    <mergeCell ref="A24:B24"/>
    <mergeCell ref="A25:B25"/>
    <mergeCell ref="A26:B26"/>
    <mergeCell ref="A27:B27"/>
    <mergeCell ref="A28:B28"/>
    <mergeCell ref="A1:B1"/>
    <mergeCell ref="A3:B3"/>
    <mergeCell ref="A6:B8"/>
    <mergeCell ref="A22:B22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2"/>
    </sheetView>
  </sheetViews>
  <sheetFormatPr defaultColWidth="8.6640625" defaultRowHeight="14.4" x14ac:dyDescent="0.3"/>
  <cols>
    <col min="1" max="1" width="30" customWidth="1"/>
    <col min="2" max="2" width="9" customWidth="1"/>
    <col min="3" max="11" width="16" customWidth="1"/>
  </cols>
  <sheetData>
    <row r="1" spans="1:11" ht="21.75" customHeight="1" x14ac:dyDescent="0.3">
      <c r="A1" s="4" t="s">
        <v>29</v>
      </c>
      <c r="B1" s="4" t="s">
        <v>30</v>
      </c>
      <c r="C1" s="18" t="s">
        <v>13</v>
      </c>
      <c r="D1" s="3" t="s">
        <v>15</v>
      </c>
      <c r="E1" s="3"/>
      <c r="F1" s="3"/>
      <c r="G1" s="2" t="s">
        <v>17</v>
      </c>
      <c r="H1" s="2"/>
      <c r="I1" s="2"/>
      <c r="J1" s="2"/>
      <c r="K1" s="19" t="s">
        <v>19</v>
      </c>
    </row>
    <row r="2" spans="1:11" ht="48" customHeight="1" x14ac:dyDescent="0.3">
      <c r="A2" s="4"/>
      <c r="B2" s="4"/>
      <c r="C2" s="20" t="s">
        <v>14</v>
      </c>
      <c r="D2" s="21" t="s">
        <v>31</v>
      </c>
      <c r="E2" s="21" t="s">
        <v>32</v>
      </c>
      <c r="F2" s="21" t="s">
        <v>33</v>
      </c>
      <c r="G2" s="22" t="s">
        <v>34</v>
      </c>
      <c r="H2" s="22" t="s">
        <v>35</v>
      </c>
      <c r="I2" s="22" t="s">
        <v>36</v>
      </c>
      <c r="J2" s="22" t="s">
        <v>37</v>
      </c>
      <c r="K2" s="23" t="s">
        <v>20</v>
      </c>
    </row>
    <row r="3" spans="1:11" x14ac:dyDescent="0.3">
      <c r="A3" s="24" t="s">
        <v>38</v>
      </c>
      <c r="B3" s="25">
        <v>2020</v>
      </c>
      <c r="C3" s="26">
        <v>5.18</v>
      </c>
      <c r="D3" s="27">
        <v>62.57</v>
      </c>
      <c r="E3" s="27">
        <v>34.5</v>
      </c>
      <c r="F3" s="28">
        <v>1</v>
      </c>
      <c r="G3" s="29">
        <v>2.91</v>
      </c>
      <c r="H3" s="30">
        <v>2232.4499999999998</v>
      </c>
      <c r="I3" s="30">
        <v>4040.14</v>
      </c>
      <c r="J3" s="30">
        <v>301.06</v>
      </c>
      <c r="K3" s="28">
        <v>86.29</v>
      </c>
    </row>
    <row r="4" spans="1:11" x14ac:dyDescent="0.3">
      <c r="A4" s="24" t="s">
        <v>38</v>
      </c>
      <c r="B4" s="25">
        <v>2021</v>
      </c>
      <c r="C4" s="26">
        <v>5.08</v>
      </c>
      <c r="D4" s="27">
        <v>62.1</v>
      </c>
      <c r="E4" s="27">
        <v>33.4</v>
      </c>
      <c r="F4" s="28">
        <v>0.9</v>
      </c>
      <c r="G4" s="29">
        <v>2.72</v>
      </c>
      <c r="H4" s="30">
        <v>2330.73</v>
      </c>
      <c r="I4" s="30">
        <v>4167.1899999999996</v>
      </c>
      <c r="J4" s="30">
        <v>313.41000000000003</v>
      </c>
      <c r="K4" s="28">
        <v>85.94</v>
      </c>
    </row>
    <row r="5" spans="1:11" x14ac:dyDescent="0.3">
      <c r="A5" s="24" t="s">
        <v>38</v>
      </c>
      <c r="B5" s="25">
        <v>2022</v>
      </c>
      <c r="C5" s="26">
        <v>4.9800000000000004</v>
      </c>
      <c r="D5" s="27">
        <v>62.88</v>
      </c>
      <c r="E5" s="27">
        <v>32.4</v>
      </c>
      <c r="F5" s="28">
        <v>0.9</v>
      </c>
      <c r="G5" s="29">
        <v>2.71</v>
      </c>
      <c r="H5" s="30">
        <v>2442.3000000000002</v>
      </c>
      <c r="I5" s="30">
        <v>4289.5</v>
      </c>
      <c r="J5" s="30">
        <v>324.98</v>
      </c>
      <c r="K5" s="28">
        <v>85.58</v>
      </c>
    </row>
    <row r="6" spans="1:11" x14ac:dyDescent="0.3">
      <c r="A6" s="24" t="s">
        <v>38</v>
      </c>
      <c r="B6" s="25">
        <v>2023</v>
      </c>
      <c r="C6" s="26">
        <v>4.88</v>
      </c>
      <c r="D6" s="27">
        <v>63.65</v>
      </c>
      <c r="E6" s="27">
        <v>31.5</v>
      </c>
      <c r="F6" s="28">
        <v>0.8</v>
      </c>
      <c r="G6" s="29">
        <v>2.73</v>
      </c>
      <c r="H6" s="30">
        <v>2580.83</v>
      </c>
      <c r="I6" s="30">
        <v>4414.82</v>
      </c>
      <c r="J6" s="30">
        <v>337.31</v>
      </c>
      <c r="K6" s="28">
        <v>85.22</v>
      </c>
    </row>
    <row r="7" spans="1:11" x14ac:dyDescent="0.3">
      <c r="A7" s="24" t="s">
        <v>38</v>
      </c>
      <c r="B7" s="25">
        <v>2024</v>
      </c>
      <c r="C7" s="26"/>
      <c r="D7" s="27"/>
      <c r="E7" s="27"/>
      <c r="F7" s="28">
        <v>0.8</v>
      </c>
      <c r="G7" s="29">
        <v>2.58</v>
      </c>
      <c r="H7" s="30"/>
      <c r="I7" s="30"/>
      <c r="J7" s="30"/>
      <c r="K7" s="28"/>
    </row>
    <row r="8" spans="1:11" x14ac:dyDescent="0.3">
      <c r="A8" s="24" t="s">
        <v>39</v>
      </c>
      <c r="B8" s="25">
        <v>2020</v>
      </c>
      <c r="C8" s="26">
        <v>4.07</v>
      </c>
      <c r="D8" s="27">
        <v>65.760000000000005</v>
      </c>
      <c r="E8" s="27">
        <v>38.700000000000003</v>
      </c>
      <c r="F8" s="28">
        <v>0.1</v>
      </c>
      <c r="G8" s="29">
        <v>1.96</v>
      </c>
      <c r="H8" s="30">
        <v>151.91</v>
      </c>
      <c r="I8" s="30">
        <v>301.72000000000003</v>
      </c>
      <c r="J8" s="30">
        <v>35.51</v>
      </c>
      <c r="K8" s="28">
        <v>70.62</v>
      </c>
    </row>
    <row r="9" spans="1:11" x14ac:dyDescent="0.3">
      <c r="A9" s="24" t="s">
        <v>39</v>
      </c>
      <c r="B9" s="25">
        <v>2021</v>
      </c>
      <c r="C9" s="26">
        <v>4</v>
      </c>
      <c r="D9" s="27">
        <v>65.2</v>
      </c>
      <c r="E9" s="27">
        <v>37.799999999999997</v>
      </c>
      <c r="F9" s="28">
        <v>0.1</v>
      </c>
      <c r="G9" s="29">
        <v>1.98</v>
      </c>
      <c r="H9" s="30">
        <v>155.72</v>
      </c>
      <c r="I9" s="30">
        <v>309.36</v>
      </c>
      <c r="J9" s="30">
        <v>36.17</v>
      </c>
      <c r="K9" s="28">
        <v>70.39</v>
      </c>
    </row>
    <row r="10" spans="1:11" x14ac:dyDescent="0.3">
      <c r="A10" s="24" t="s">
        <v>39</v>
      </c>
      <c r="B10" s="25">
        <v>2022</v>
      </c>
      <c r="C10" s="26">
        <v>3.94</v>
      </c>
      <c r="D10" s="27">
        <v>66.48</v>
      </c>
      <c r="E10" s="27">
        <v>36.799999999999997</v>
      </c>
      <c r="F10" s="28">
        <v>0.1</v>
      </c>
      <c r="G10" s="29">
        <v>1.94</v>
      </c>
      <c r="H10" s="30">
        <v>159.21</v>
      </c>
      <c r="I10" s="30">
        <v>317.27</v>
      </c>
      <c r="J10" s="30">
        <v>36.74</v>
      </c>
      <c r="K10" s="28">
        <v>70.14</v>
      </c>
    </row>
    <row r="11" spans="1:11" x14ac:dyDescent="0.3">
      <c r="A11" s="24" t="s">
        <v>39</v>
      </c>
      <c r="B11" s="25">
        <v>2023</v>
      </c>
      <c r="C11" s="26">
        <v>3.88</v>
      </c>
      <c r="D11" s="27">
        <v>66.78</v>
      </c>
      <c r="E11" s="27">
        <v>35.700000000000003</v>
      </c>
      <c r="F11" s="28">
        <v>0.1</v>
      </c>
      <c r="G11" s="29">
        <v>1.92</v>
      </c>
      <c r="H11" s="30">
        <v>162.11000000000001</v>
      </c>
      <c r="I11" s="30">
        <v>326.17</v>
      </c>
      <c r="J11" s="30">
        <v>37.590000000000003</v>
      </c>
      <c r="K11" s="28">
        <v>69.87</v>
      </c>
    </row>
    <row r="12" spans="1:11" x14ac:dyDescent="0.3">
      <c r="A12" s="24" t="s">
        <v>39</v>
      </c>
      <c r="B12" s="25">
        <v>2024</v>
      </c>
      <c r="C12" s="26"/>
      <c r="D12" s="27"/>
      <c r="E12" s="27"/>
      <c r="F12" s="28">
        <v>0.1</v>
      </c>
      <c r="G12" s="29">
        <v>1.89</v>
      </c>
      <c r="H12" s="30"/>
      <c r="I12" s="30"/>
      <c r="J12" s="30"/>
      <c r="K12" s="28"/>
    </row>
    <row r="13" spans="1:11" x14ac:dyDescent="0.3">
      <c r="A13" s="24" t="s">
        <v>40</v>
      </c>
      <c r="B13" s="25">
        <v>2020</v>
      </c>
      <c r="C13" s="26">
        <v>6.21</v>
      </c>
      <c r="D13" s="27">
        <v>60.43</v>
      </c>
      <c r="E13" s="27">
        <v>48.4</v>
      </c>
      <c r="F13" s="28">
        <v>0.9</v>
      </c>
      <c r="G13" s="29">
        <v>3.22</v>
      </c>
      <c r="H13" s="30">
        <v>18144.66</v>
      </c>
      <c r="I13" s="30">
        <v>29888.65</v>
      </c>
      <c r="J13" s="30">
        <v>2919.4</v>
      </c>
      <c r="K13" s="28">
        <v>54.36</v>
      </c>
    </row>
    <row r="14" spans="1:11" x14ac:dyDescent="0.3">
      <c r="A14" s="24" t="s">
        <v>40</v>
      </c>
      <c r="B14" s="25">
        <v>2021</v>
      </c>
      <c r="C14" s="26">
        <v>6.16</v>
      </c>
      <c r="D14" s="27">
        <v>60.04</v>
      </c>
      <c r="E14" s="27">
        <v>47.1</v>
      </c>
      <c r="F14" s="28">
        <v>0.8</v>
      </c>
      <c r="G14" s="29">
        <v>3.24</v>
      </c>
      <c r="H14" s="30">
        <v>18641.27</v>
      </c>
      <c r="I14" s="30">
        <v>30969</v>
      </c>
      <c r="J14" s="30">
        <v>3005.25</v>
      </c>
      <c r="K14" s="28">
        <v>53.77</v>
      </c>
    </row>
    <row r="15" spans="1:11" x14ac:dyDescent="0.3">
      <c r="A15" s="24" t="s">
        <v>40</v>
      </c>
      <c r="B15" s="25">
        <v>2022</v>
      </c>
      <c r="C15" s="26">
        <v>6.11</v>
      </c>
      <c r="D15" s="27">
        <v>60.98</v>
      </c>
      <c r="E15" s="27">
        <v>45.8</v>
      </c>
      <c r="F15" s="28">
        <v>0.8</v>
      </c>
      <c r="G15" s="29">
        <v>3.22</v>
      </c>
      <c r="H15" s="30">
        <v>19178.63</v>
      </c>
      <c r="I15" s="30">
        <v>32010</v>
      </c>
      <c r="J15" s="30">
        <v>3089.69</v>
      </c>
      <c r="K15" s="28">
        <v>53.16</v>
      </c>
    </row>
    <row r="16" spans="1:11" x14ac:dyDescent="0.3">
      <c r="A16" s="24" t="s">
        <v>40</v>
      </c>
      <c r="B16" s="25">
        <v>2023</v>
      </c>
      <c r="C16" s="26">
        <v>6.05</v>
      </c>
      <c r="D16" s="27">
        <v>61.9</v>
      </c>
      <c r="E16" s="27">
        <v>44.5</v>
      </c>
      <c r="F16" s="28">
        <v>0.8</v>
      </c>
      <c r="G16" s="29">
        <v>3.26</v>
      </c>
      <c r="H16" s="30">
        <v>19806.45</v>
      </c>
      <c r="I16" s="30">
        <v>33084.97</v>
      </c>
      <c r="J16" s="30">
        <v>3189.39</v>
      </c>
      <c r="K16" s="28">
        <v>52.56</v>
      </c>
    </row>
    <row r="17" spans="1:11" x14ac:dyDescent="0.3">
      <c r="A17" s="24" t="s">
        <v>40</v>
      </c>
      <c r="B17" s="25">
        <v>2024</v>
      </c>
      <c r="C17" s="26"/>
      <c r="D17" s="27"/>
      <c r="E17" s="27"/>
      <c r="F17" s="28">
        <v>0.7</v>
      </c>
      <c r="G17" s="29">
        <v>3.24</v>
      </c>
      <c r="H17" s="30"/>
      <c r="I17" s="30"/>
      <c r="J17" s="30"/>
      <c r="K17" s="28"/>
    </row>
    <row r="18" spans="1:11" x14ac:dyDescent="0.3">
      <c r="A18" s="24" t="s">
        <v>41</v>
      </c>
      <c r="B18" s="25">
        <v>2020</v>
      </c>
      <c r="C18" s="26">
        <v>2.75</v>
      </c>
      <c r="D18" s="27">
        <v>64.2</v>
      </c>
      <c r="E18" s="27">
        <v>48.8</v>
      </c>
      <c r="F18" s="28">
        <v>1.2</v>
      </c>
      <c r="G18" s="29">
        <v>1.5</v>
      </c>
      <c r="H18" s="30">
        <v>217.88</v>
      </c>
      <c r="I18" s="30">
        <v>487.26</v>
      </c>
      <c r="J18" s="30">
        <v>48.74</v>
      </c>
      <c r="K18" s="28">
        <v>21.94</v>
      </c>
    </row>
    <row r="19" spans="1:11" x14ac:dyDescent="0.3">
      <c r="A19" s="24" t="s">
        <v>41</v>
      </c>
      <c r="B19" s="25">
        <v>2021</v>
      </c>
      <c r="C19" s="26">
        <v>2.7</v>
      </c>
      <c r="D19" s="27">
        <v>63.83</v>
      </c>
      <c r="E19" s="27">
        <v>47.3</v>
      </c>
      <c r="F19" s="28">
        <v>1.1000000000000001</v>
      </c>
      <c r="G19" s="29">
        <v>1.44</v>
      </c>
      <c r="H19" s="30">
        <v>221.23</v>
      </c>
      <c r="I19" s="30">
        <v>499.68</v>
      </c>
      <c r="J19" s="30">
        <v>50.17</v>
      </c>
      <c r="K19" s="28">
        <v>21.78</v>
      </c>
    </row>
    <row r="20" spans="1:11" x14ac:dyDescent="0.3">
      <c r="A20" s="24" t="s">
        <v>41</v>
      </c>
      <c r="B20" s="25">
        <v>2022</v>
      </c>
      <c r="C20" s="26">
        <v>2.65</v>
      </c>
      <c r="D20" s="27">
        <v>65.540000000000006</v>
      </c>
      <c r="E20" s="27">
        <v>45.9</v>
      </c>
      <c r="F20" s="28">
        <v>1</v>
      </c>
      <c r="G20" s="29">
        <v>1.4</v>
      </c>
      <c r="H20" s="30">
        <v>224.21</v>
      </c>
      <c r="I20" s="30">
        <v>511.63</v>
      </c>
      <c r="J20" s="30">
        <v>51.66</v>
      </c>
      <c r="K20" s="28">
        <v>21.62</v>
      </c>
    </row>
    <row r="21" spans="1:11" x14ac:dyDescent="0.3">
      <c r="A21" s="24" t="s">
        <v>41</v>
      </c>
      <c r="B21" s="25">
        <v>2023</v>
      </c>
      <c r="C21" s="26">
        <v>2.61</v>
      </c>
      <c r="D21" s="27">
        <v>65.989999999999995</v>
      </c>
      <c r="E21" s="27">
        <v>44.4</v>
      </c>
      <c r="F21" s="28">
        <v>1</v>
      </c>
      <c r="G21" s="29">
        <v>1.38</v>
      </c>
      <c r="H21" s="30">
        <v>226.7</v>
      </c>
      <c r="I21" s="30">
        <v>523.63</v>
      </c>
      <c r="J21" s="30">
        <v>53.57</v>
      </c>
      <c r="K21" s="28">
        <v>21.45</v>
      </c>
    </row>
    <row r="22" spans="1:11" x14ac:dyDescent="0.3">
      <c r="A22" s="24" t="s">
        <v>41</v>
      </c>
      <c r="B22" s="25">
        <v>2024</v>
      </c>
      <c r="C22" s="26"/>
      <c r="D22" s="27"/>
      <c r="E22" s="27"/>
      <c r="F22" s="28">
        <v>0.9</v>
      </c>
      <c r="G22" s="29">
        <v>1.36</v>
      </c>
      <c r="H22" s="30"/>
      <c r="I22" s="30"/>
      <c r="J22" s="30"/>
      <c r="K22" s="28"/>
    </row>
    <row r="23" spans="1:11" x14ac:dyDescent="0.3">
      <c r="A23" s="24" t="s">
        <v>42</v>
      </c>
      <c r="B23" s="25">
        <v>2020</v>
      </c>
      <c r="C23" s="26">
        <v>3.93</v>
      </c>
      <c r="D23" s="27">
        <v>66.98</v>
      </c>
      <c r="E23" s="27">
        <v>27.9</v>
      </c>
      <c r="F23" s="28">
        <v>0.5</v>
      </c>
      <c r="G23" s="29">
        <v>1.56</v>
      </c>
      <c r="H23" s="30">
        <v>705.01</v>
      </c>
      <c r="I23" s="30">
        <v>1095.26</v>
      </c>
      <c r="J23" s="30">
        <v>133.27000000000001</v>
      </c>
      <c r="K23" s="28">
        <v>58.65</v>
      </c>
    </row>
    <row r="24" spans="1:11" x14ac:dyDescent="0.3">
      <c r="A24" s="24" t="s">
        <v>42</v>
      </c>
      <c r="B24" s="25">
        <v>2021</v>
      </c>
      <c r="C24" s="26">
        <v>3.87</v>
      </c>
      <c r="D24" s="27">
        <v>66.94</v>
      </c>
      <c r="E24" s="27">
        <v>27.2</v>
      </c>
      <c r="F24" s="28">
        <v>0.5</v>
      </c>
      <c r="G24" s="29">
        <v>1.77</v>
      </c>
      <c r="H24" s="30">
        <v>729.35</v>
      </c>
      <c r="I24" s="30">
        <v>1124.0999999999999</v>
      </c>
      <c r="J24" s="30">
        <v>136.02000000000001</v>
      </c>
      <c r="K24" s="28">
        <v>58.02</v>
      </c>
    </row>
    <row r="25" spans="1:11" x14ac:dyDescent="0.3">
      <c r="A25" s="24" t="s">
        <v>42</v>
      </c>
      <c r="B25" s="25">
        <v>2022</v>
      </c>
      <c r="C25" s="26">
        <v>3.79</v>
      </c>
      <c r="D25" s="27">
        <v>67.790000000000006</v>
      </c>
      <c r="E25" s="27">
        <v>26.4</v>
      </c>
      <c r="F25" s="28">
        <v>0.5</v>
      </c>
      <c r="G25" s="29">
        <v>1.75</v>
      </c>
      <c r="H25" s="30">
        <v>745.3</v>
      </c>
      <c r="I25" s="30">
        <v>1161.8699999999999</v>
      </c>
      <c r="J25" s="30">
        <v>138.74</v>
      </c>
      <c r="K25" s="28">
        <v>57.38</v>
      </c>
    </row>
    <row r="26" spans="1:11" x14ac:dyDescent="0.3">
      <c r="A26" s="24" t="s">
        <v>42</v>
      </c>
      <c r="B26" s="25">
        <v>2023</v>
      </c>
      <c r="C26" s="26">
        <v>3.71</v>
      </c>
      <c r="D26" s="27">
        <v>68.62</v>
      </c>
      <c r="E26" s="27">
        <v>25.5</v>
      </c>
      <c r="F26" s="28">
        <v>0.4</v>
      </c>
      <c r="G26" s="29">
        <v>1.77</v>
      </c>
      <c r="H26" s="30">
        <v>760.38</v>
      </c>
      <c r="I26" s="30">
        <v>1197.5999999999999</v>
      </c>
      <c r="J26" s="30">
        <v>141.93</v>
      </c>
      <c r="K26" s="28">
        <v>56.73</v>
      </c>
    </row>
    <row r="27" spans="1:11" x14ac:dyDescent="0.3">
      <c r="A27" s="24" t="s">
        <v>42</v>
      </c>
      <c r="B27" s="25">
        <v>2024</v>
      </c>
      <c r="C27" s="26"/>
      <c r="D27" s="27"/>
      <c r="E27" s="27"/>
      <c r="F27" s="28">
        <v>0.4</v>
      </c>
      <c r="G27" s="29">
        <v>1.86</v>
      </c>
      <c r="H27" s="30"/>
      <c r="I27" s="30"/>
      <c r="J27" s="30"/>
      <c r="K27" s="28"/>
    </row>
    <row r="28" spans="1:11" x14ac:dyDescent="0.3">
      <c r="A28" s="24" t="s">
        <v>43</v>
      </c>
      <c r="B28" s="25">
        <v>2020</v>
      </c>
      <c r="C28" s="26">
        <v>4.2699999999999996</v>
      </c>
      <c r="D28" s="27">
        <v>65.97</v>
      </c>
      <c r="E28" s="27">
        <v>39.6</v>
      </c>
      <c r="F28" s="28">
        <v>0.9</v>
      </c>
      <c r="G28" s="29">
        <v>2.71</v>
      </c>
      <c r="H28" s="30">
        <v>25142.62</v>
      </c>
      <c r="I28" s="30">
        <v>40880.78</v>
      </c>
      <c r="J28" s="30">
        <v>3583.33</v>
      </c>
      <c r="K28" s="28">
        <v>78.31</v>
      </c>
    </row>
    <row r="29" spans="1:11" x14ac:dyDescent="0.3">
      <c r="A29" s="24" t="s">
        <v>43</v>
      </c>
      <c r="B29" s="25">
        <v>2021</v>
      </c>
      <c r="C29" s="26">
        <v>4.18</v>
      </c>
      <c r="D29" s="27">
        <v>65.33</v>
      </c>
      <c r="E29" s="27">
        <v>38.299999999999997</v>
      </c>
      <c r="F29" s="28">
        <v>0.8</v>
      </c>
      <c r="G29" s="29">
        <v>2.67</v>
      </c>
      <c r="H29" s="30">
        <v>25791.61</v>
      </c>
      <c r="I29" s="30">
        <v>42514.86</v>
      </c>
      <c r="J29" s="30">
        <v>3715.95</v>
      </c>
      <c r="K29" s="28">
        <v>77.83</v>
      </c>
    </row>
    <row r="30" spans="1:11" x14ac:dyDescent="0.3">
      <c r="A30" s="24" t="s">
        <v>43</v>
      </c>
      <c r="B30" s="25">
        <v>2022</v>
      </c>
      <c r="C30" s="26">
        <v>4.08</v>
      </c>
      <c r="D30" s="27">
        <v>66.900000000000006</v>
      </c>
      <c r="E30" s="27">
        <v>37</v>
      </c>
      <c r="F30" s="28">
        <v>0.8</v>
      </c>
      <c r="G30" s="29">
        <v>2.62</v>
      </c>
      <c r="H30" s="30">
        <v>26391.45</v>
      </c>
      <c r="I30" s="30">
        <v>44153.11</v>
      </c>
      <c r="J30" s="30">
        <v>3841.03</v>
      </c>
      <c r="K30" s="28">
        <v>77.34</v>
      </c>
    </row>
    <row r="31" spans="1:11" x14ac:dyDescent="0.3">
      <c r="A31" s="24" t="s">
        <v>43</v>
      </c>
      <c r="B31" s="25">
        <v>2023</v>
      </c>
      <c r="C31" s="26">
        <v>3.99</v>
      </c>
      <c r="D31" s="27">
        <v>67.31</v>
      </c>
      <c r="E31" s="27">
        <v>35.700000000000003</v>
      </c>
      <c r="F31" s="28">
        <v>0.7</v>
      </c>
      <c r="G31" s="29">
        <v>2.6</v>
      </c>
      <c r="H31" s="30">
        <v>26961.07</v>
      </c>
      <c r="I31" s="30">
        <v>45858.2</v>
      </c>
      <c r="J31" s="30">
        <v>3994.02</v>
      </c>
      <c r="K31" s="28">
        <v>76.84</v>
      </c>
    </row>
    <row r="32" spans="1:11" x14ac:dyDescent="0.3">
      <c r="A32" s="24" t="s">
        <v>43</v>
      </c>
      <c r="B32" s="25">
        <v>2024</v>
      </c>
      <c r="C32" s="26"/>
      <c r="D32" s="27"/>
      <c r="E32" s="27"/>
      <c r="F32" s="28">
        <v>0.7</v>
      </c>
      <c r="G32" s="29">
        <v>2.58</v>
      </c>
      <c r="H32" s="30"/>
      <c r="I32" s="30"/>
      <c r="J32" s="30"/>
      <c r="K32" s="28"/>
    </row>
    <row r="33" spans="1:11" x14ac:dyDescent="0.3">
      <c r="A33" s="24" t="s">
        <v>44</v>
      </c>
      <c r="B33" s="25">
        <v>2020</v>
      </c>
      <c r="C33" s="26">
        <v>3.36</v>
      </c>
      <c r="D33" s="27">
        <v>61.6</v>
      </c>
      <c r="E33" s="27">
        <v>36.9</v>
      </c>
      <c r="F33" s="28">
        <v>3.7</v>
      </c>
      <c r="G33" s="29">
        <v>1.96</v>
      </c>
      <c r="H33" s="30">
        <v>10584.49</v>
      </c>
      <c r="I33" s="30">
        <v>19218.93</v>
      </c>
      <c r="J33" s="30">
        <v>1439.11</v>
      </c>
      <c r="K33" s="28">
        <v>72</v>
      </c>
    </row>
    <row r="34" spans="1:11" x14ac:dyDescent="0.3">
      <c r="A34" s="24" t="s">
        <v>44</v>
      </c>
      <c r="B34" s="25">
        <v>2021</v>
      </c>
      <c r="C34" s="26">
        <v>3.31</v>
      </c>
      <c r="D34" s="27">
        <v>61.23</v>
      </c>
      <c r="E34" s="27">
        <v>36.4</v>
      </c>
      <c r="F34" s="28">
        <v>3.6</v>
      </c>
      <c r="G34" s="29">
        <v>1.9</v>
      </c>
      <c r="H34" s="30">
        <v>10905.6</v>
      </c>
      <c r="I34" s="30">
        <v>19786.439999999999</v>
      </c>
      <c r="J34" s="30">
        <v>1473.81</v>
      </c>
      <c r="K34" s="28">
        <v>71.510000000000005</v>
      </c>
    </row>
    <row r="35" spans="1:11" x14ac:dyDescent="0.3">
      <c r="A35" s="24" t="s">
        <v>44</v>
      </c>
      <c r="B35" s="25">
        <v>2022</v>
      </c>
      <c r="C35" s="26">
        <v>3.26</v>
      </c>
      <c r="D35" s="27">
        <v>63.55</v>
      </c>
      <c r="E35" s="27">
        <v>35.799999999999997</v>
      </c>
      <c r="F35" s="28">
        <v>3.4</v>
      </c>
      <c r="G35" s="29">
        <v>1.92</v>
      </c>
      <c r="H35" s="30">
        <v>11221.39</v>
      </c>
      <c r="I35" s="30">
        <v>20346.53</v>
      </c>
      <c r="J35" s="30">
        <v>1526.27</v>
      </c>
      <c r="K35" s="28">
        <v>71</v>
      </c>
    </row>
    <row r="36" spans="1:11" x14ac:dyDescent="0.3">
      <c r="A36" s="24" t="s">
        <v>44</v>
      </c>
      <c r="B36" s="25">
        <v>2023</v>
      </c>
      <c r="C36" s="26">
        <v>3.21</v>
      </c>
      <c r="D36" s="27">
        <v>63.65</v>
      </c>
      <c r="E36" s="27">
        <v>34.700000000000003</v>
      </c>
      <c r="F36" s="28">
        <v>3.2</v>
      </c>
      <c r="G36" s="29">
        <v>1.98</v>
      </c>
      <c r="H36" s="30">
        <v>11568.02</v>
      </c>
      <c r="I36" s="30">
        <v>20952.310000000001</v>
      </c>
      <c r="J36" s="30">
        <v>1581.23</v>
      </c>
      <c r="K36" s="28">
        <v>70.48</v>
      </c>
    </row>
    <row r="37" spans="1:11" x14ac:dyDescent="0.3">
      <c r="A37" s="24" t="s">
        <v>44</v>
      </c>
      <c r="B37" s="25">
        <v>2024</v>
      </c>
      <c r="C37" s="26"/>
      <c r="D37" s="27"/>
      <c r="E37" s="27"/>
      <c r="F37" s="28">
        <v>3</v>
      </c>
      <c r="G37" s="29">
        <v>1.96</v>
      </c>
      <c r="H37" s="30"/>
      <c r="I37" s="30"/>
      <c r="J37" s="30"/>
      <c r="K37" s="28"/>
    </row>
    <row r="38" spans="1:11" x14ac:dyDescent="0.3">
      <c r="A38" s="24" t="s">
        <v>45</v>
      </c>
      <c r="B38" s="25">
        <v>2020</v>
      </c>
      <c r="C38" s="26">
        <v>4.17</v>
      </c>
      <c r="D38" s="27">
        <v>62.71</v>
      </c>
      <c r="E38" s="27">
        <v>44.7</v>
      </c>
      <c r="F38" s="28">
        <v>0.3</v>
      </c>
      <c r="G38" s="29">
        <v>2.57</v>
      </c>
      <c r="H38" s="30">
        <v>5902.84</v>
      </c>
      <c r="I38" s="30">
        <v>10206.799999999999</v>
      </c>
      <c r="J38" s="30">
        <v>894.12</v>
      </c>
      <c r="K38" s="28">
        <v>61.47</v>
      </c>
    </row>
    <row r="39" spans="1:11" x14ac:dyDescent="0.3">
      <c r="A39" s="24" t="s">
        <v>45</v>
      </c>
      <c r="B39" s="25">
        <v>2021</v>
      </c>
      <c r="C39" s="26">
        <v>4.0999999999999996</v>
      </c>
      <c r="D39" s="27">
        <v>62.52</v>
      </c>
      <c r="E39" s="27">
        <v>44.9</v>
      </c>
      <c r="F39" s="28">
        <v>0.4</v>
      </c>
      <c r="G39" s="29">
        <v>2.52</v>
      </c>
      <c r="H39" s="30">
        <v>6031.09</v>
      </c>
      <c r="I39" s="30">
        <v>10552.06</v>
      </c>
      <c r="J39" s="30">
        <v>932.02</v>
      </c>
      <c r="K39" s="28">
        <v>60.79</v>
      </c>
    </row>
    <row r="40" spans="1:11" x14ac:dyDescent="0.3">
      <c r="A40" s="24" t="s">
        <v>45</v>
      </c>
      <c r="B40" s="25">
        <v>2022</v>
      </c>
      <c r="C40" s="26">
        <v>4.04</v>
      </c>
      <c r="D40" s="27">
        <v>63.07</v>
      </c>
      <c r="E40" s="27">
        <v>44.7</v>
      </c>
      <c r="F40" s="28">
        <v>0.4</v>
      </c>
      <c r="G40" s="29">
        <v>2.48</v>
      </c>
      <c r="H40" s="30">
        <v>6151.93</v>
      </c>
      <c r="I40" s="30">
        <v>10909.56</v>
      </c>
      <c r="J40" s="30">
        <v>972.55</v>
      </c>
      <c r="K40" s="28">
        <v>60.12</v>
      </c>
    </row>
    <row r="41" spans="1:11" x14ac:dyDescent="0.3">
      <c r="A41" s="24" t="s">
        <v>45</v>
      </c>
      <c r="B41" s="25">
        <v>2023</v>
      </c>
      <c r="C41" s="26">
        <v>3.97</v>
      </c>
      <c r="D41" s="27">
        <v>63.63</v>
      </c>
      <c r="E41" s="27">
        <v>44.2</v>
      </c>
      <c r="F41" s="28">
        <v>0.4</v>
      </c>
      <c r="G41" s="29">
        <v>2.46</v>
      </c>
      <c r="H41" s="30">
        <v>6270.33</v>
      </c>
      <c r="I41" s="30">
        <v>11285.24</v>
      </c>
      <c r="J41" s="30">
        <v>1016.6</v>
      </c>
      <c r="K41" s="28">
        <v>59.44</v>
      </c>
    </row>
    <row r="42" spans="1:11" x14ac:dyDescent="0.3">
      <c r="A42" s="24" t="s">
        <v>45</v>
      </c>
      <c r="B42" s="25">
        <v>2024</v>
      </c>
      <c r="C42" s="26"/>
      <c r="D42" s="27"/>
      <c r="E42" s="27"/>
      <c r="F42" s="28">
        <v>0.5</v>
      </c>
      <c r="G42" s="29">
        <v>2.44</v>
      </c>
      <c r="H42" s="30"/>
      <c r="I42" s="30"/>
      <c r="J42" s="30"/>
      <c r="K42" s="28"/>
    </row>
    <row r="43" spans="1:11" x14ac:dyDescent="0.3">
      <c r="A43" s="24" t="s">
        <v>46</v>
      </c>
      <c r="B43" s="25">
        <v>2020</v>
      </c>
      <c r="C43" s="26">
        <v>3.88</v>
      </c>
      <c r="D43" s="27">
        <v>65.22</v>
      </c>
      <c r="E43" s="27">
        <v>32.299999999999997</v>
      </c>
      <c r="F43" s="28">
        <v>7.9</v>
      </c>
      <c r="G43" s="29">
        <v>2.64</v>
      </c>
      <c r="H43" s="30">
        <v>3999.54</v>
      </c>
      <c r="I43" s="30">
        <v>6382.96</v>
      </c>
      <c r="J43" s="30">
        <v>527.53</v>
      </c>
      <c r="K43" s="28">
        <v>82.57</v>
      </c>
    </row>
    <row r="44" spans="1:11" x14ac:dyDescent="0.3">
      <c r="A44" s="24" t="s">
        <v>46</v>
      </c>
      <c r="B44" s="25">
        <v>2021</v>
      </c>
      <c r="C44" s="26">
        <v>3.79</v>
      </c>
      <c r="D44" s="27">
        <v>64.78</v>
      </c>
      <c r="E44" s="27">
        <v>31.4</v>
      </c>
      <c r="F44" s="28">
        <v>7.4</v>
      </c>
      <c r="G44" s="29">
        <v>2.59</v>
      </c>
      <c r="H44" s="30">
        <v>4148.1000000000004</v>
      </c>
      <c r="I44" s="30">
        <v>6634.09</v>
      </c>
      <c r="J44" s="30">
        <v>530.29</v>
      </c>
      <c r="K44" s="28">
        <v>82.31</v>
      </c>
    </row>
    <row r="45" spans="1:11" x14ac:dyDescent="0.3">
      <c r="A45" s="24" t="s">
        <v>46</v>
      </c>
      <c r="B45" s="25">
        <v>2022</v>
      </c>
      <c r="C45" s="26">
        <v>3.72</v>
      </c>
      <c r="D45" s="27">
        <v>66.040000000000006</v>
      </c>
      <c r="E45" s="27">
        <v>30.5</v>
      </c>
      <c r="F45" s="28">
        <v>7</v>
      </c>
      <c r="G45" s="29">
        <v>2.57</v>
      </c>
      <c r="H45" s="30">
        <v>4305.1400000000003</v>
      </c>
      <c r="I45" s="30">
        <v>6888.24</v>
      </c>
      <c r="J45" s="30">
        <v>533.73</v>
      </c>
      <c r="K45" s="28">
        <v>82.02</v>
      </c>
    </row>
    <row r="46" spans="1:11" x14ac:dyDescent="0.3">
      <c r="A46" s="24" t="s">
        <v>46</v>
      </c>
      <c r="B46" s="25">
        <v>2023</v>
      </c>
      <c r="C46" s="26">
        <v>3.65</v>
      </c>
      <c r="D46" s="27">
        <v>67.349999999999994</v>
      </c>
      <c r="E46" s="27">
        <v>29.4</v>
      </c>
      <c r="F46" s="28">
        <v>6.6</v>
      </c>
      <c r="G46" s="29">
        <v>2.57</v>
      </c>
      <c r="H46" s="30">
        <v>4462.43</v>
      </c>
      <c r="I46" s="30">
        <v>7156.29</v>
      </c>
      <c r="J46" s="30">
        <v>541.28</v>
      </c>
      <c r="K46" s="28">
        <v>81.72</v>
      </c>
    </row>
    <row r="47" spans="1:11" x14ac:dyDescent="0.3">
      <c r="A47" s="24" t="s">
        <v>46</v>
      </c>
      <c r="B47" s="25">
        <v>2024</v>
      </c>
      <c r="C47" s="26"/>
      <c r="D47" s="27"/>
      <c r="E47" s="27"/>
      <c r="F47" s="28">
        <v>6.2</v>
      </c>
      <c r="G47" s="29">
        <v>2.58</v>
      </c>
      <c r="H47" s="30"/>
      <c r="I47" s="30"/>
      <c r="J47" s="30"/>
      <c r="K47" s="28"/>
    </row>
    <row r="48" spans="1:11" x14ac:dyDescent="0.3">
      <c r="A48" s="24" t="s">
        <v>47</v>
      </c>
      <c r="B48" s="25">
        <v>2020</v>
      </c>
      <c r="C48" s="26">
        <v>1.44</v>
      </c>
      <c r="D48" s="27">
        <v>74.180000000000007</v>
      </c>
      <c r="E48" s="27">
        <v>14.1</v>
      </c>
      <c r="F48" s="28"/>
      <c r="G48" s="29">
        <v>0</v>
      </c>
      <c r="H48" s="30">
        <v>193.05</v>
      </c>
      <c r="I48" s="30">
        <v>735.22</v>
      </c>
      <c r="J48" s="30">
        <v>143.16999999999999</v>
      </c>
      <c r="K48" s="28">
        <v>59.24</v>
      </c>
    </row>
    <row r="49" spans="1:11" x14ac:dyDescent="0.3">
      <c r="A49" s="24" t="s">
        <v>47</v>
      </c>
      <c r="B49" s="25">
        <v>2021</v>
      </c>
      <c r="C49" s="26">
        <v>1.41</v>
      </c>
      <c r="D49" s="27">
        <v>73.680000000000007</v>
      </c>
      <c r="E49" s="27">
        <v>14</v>
      </c>
      <c r="F49" s="28"/>
      <c r="G49" s="29">
        <v>0.03</v>
      </c>
      <c r="H49" s="30">
        <v>191.23</v>
      </c>
      <c r="I49" s="30">
        <v>734.61</v>
      </c>
      <c r="J49" s="30">
        <v>149.44</v>
      </c>
      <c r="K49" s="28">
        <v>59.23</v>
      </c>
    </row>
    <row r="50" spans="1:11" x14ac:dyDescent="0.3">
      <c r="A50" s="24" t="s">
        <v>47</v>
      </c>
      <c r="B50" s="25">
        <v>2022</v>
      </c>
      <c r="C50" s="26">
        <v>1.32</v>
      </c>
      <c r="D50" s="27">
        <v>73.510000000000005</v>
      </c>
      <c r="E50" s="27">
        <v>13.8</v>
      </c>
      <c r="F50" s="28"/>
      <c r="G50" s="29">
        <v>-0.3</v>
      </c>
      <c r="H50" s="30">
        <v>189.16</v>
      </c>
      <c r="I50" s="30">
        <v>733.19</v>
      </c>
      <c r="J50" s="30">
        <v>155.15</v>
      </c>
      <c r="K50" s="28">
        <v>59.19</v>
      </c>
    </row>
    <row r="51" spans="1:11" x14ac:dyDescent="0.3">
      <c r="A51" s="24" t="s">
        <v>47</v>
      </c>
      <c r="B51" s="25">
        <v>2023</v>
      </c>
      <c r="C51" s="26">
        <v>1.39</v>
      </c>
      <c r="D51" s="27">
        <v>73.41</v>
      </c>
      <c r="E51" s="27">
        <v>13.5</v>
      </c>
      <c r="F51" s="28"/>
      <c r="G51" s="29">
        <v>-0.12</v>
      </c>
      <c r="H51" s="30">
        <v>185.4</v>
      </c>
      <c r="I51" s="30">
        <v>733.16</v>
      </c>
      <c r="J51" s="30">
        <v>161.22</v>
      </c>
      <c r="K51" s="28">
        <v>59.13</v>
      </c>
    </row>
    <row r="52" spans="1:11" x14ac:dyDescent="0.3">
      <c r="A52" s="24" t="s">
        <v>47</v>
      </c>
      <c r="B52" s="25">
        <v>2024</v>
      </c>
      <c r="C52" s="26"/>
      <c r="D52" s="27"/>
      <c r="E52" s="27"/>
      <c r="F52" s="28"/>
      <c r="G52" s="29">
        <v>-0.12</v>
      </c>
      <c r="H52" s="30"/>
      <c r="I52" s="30"/>
      <c r="J52" s="30"/>
      <c r="K52" s="28"/>
    </row>
    <row r="53" spans="1:11" x14ac:dyDescent="0.3">
      <c r="A53" s="24" t="s">
        <v>48</v>
      </c>
      <c r="B53" s="25">
        <v>2020</v>
      </c>
      <c r="C53" s="26">
        <v>4.96</v>
      </c>
      <c r="D53" s="27">
        <v>61.39</v>
      </c>
      <c r="E53" s="27">
        <v>49.1</v>
      </c>
      <c r="F53" s="28">
        <v>12.6</v>
      </c>
      <c r="G53" s="29">
        <v>2.96</v>
      </c>
      <c r="H53" s="30">
        <v>6152.14</v>
      </c>
      <c r="I53" s="30">
        <v>9598.4599999999991</v>
      </c>
      <c r="J53" s="30">
        <v>853.78</v>
      </c>
      <c r="K53" s="28">
        <v>62.93</v>
      </c>
    </row>
    <row r="54" spans="1:11" x14ac:dyDescent="0.3">
      <c r="A54" s="24" t="s">
        <v>48</v>
      </c>
      <c r="B54" s="25">
        <v>2021</v>
      </c>
      <c r="C54" s="26">
        <v>4.91</v>
      </c>
      <c r="D54" s="27">
        <v>60.27</v>
      </c>
      <c r="E54" s="27">
        <v>47.7</v>
      </c>
      <c r="F54" s="28">
        <v>12.4</v>
      </c>
      <c r="G54" s="29">
        <v>2.96</v>
      </c>
      <c r="H54" s="30">
        <v>6326.85</v>
      </c>
      <c r="I54" s="30">
        <v>9940.36</v>
      </c>
      <c r="J54" s="30">
        <v>876.92</v>
      </c>
      <c r="K54" s="28">
        <v>62.37</v>
      </c>
    </row>
    <row r="55" spans="1:11" x14ac:dyDescent="0.3">
      <c r="A55" s="24" t="s">
        <v>48</v>
      </c>
      <c r="B55" s="25">
        <v>2022</v>
      </c>
      <c r="C55" s="26">
        <v>4.84</v>
      </c>
      <c r="D55" s="27">
        <v>63.01</v>
      </c>
      <c r="E55" s="27">
        <v>46.5</v>
      </c>
      <c r="F55" s="28">
        <v>12.1</v>
      </c>
      <c r="G55" s="29">
        <v>2.95</v>
      </c>
      <c r="H55" s="30">
        <v>6499.88</v>
      </c>
      <c r="I55" s="30">
        <v>10291.450000000001</v>
      </c>
      <c r="J55" s="30">
        <v>892.78</v>
      </c>
      <c r="K55" s="28">
        <v>61.81</v>
      </c>
    </row>
    <row r="56" spans="1:11" x14ac:dyDescent="0.3">
      <c r="A56" s="24" t="s">
        <v>48</v>
      </c>
      <c r="B56" s="25">
        <v>2023</v>
      </c>
      <c r="C56" s="26">
        <v>4.76</v>
      </c>
      <c r="D56" s="27">
        <v>63.61</v>
      </c>
      <c r="E56" s="27">
        <v>45.4</v>
      </c>
      <c r="F56" s="28">
        <v>11.8</v>
      </c>
      <c r="G56" s="29">
        <v>2.95</v>
      </c>
      <c r="H56" s="30">
        <v>6676.51</v>
      </c>
      <c r="I56" s="30">
        <v>10673.34</v>
      </c>
      <c r="J56" s="30">
        <v>918.4</v>
      </c>
      <c r="K56" s="28">
        <v>61.25</v>
      </c>
    </row>
    <row r="57" spans="1:11" x14ac:dyDescent="0.3">
      <c r="A57" s="24" t="s">
        <v>48</v>
      </c>
      <c r="B57" s="25">
        <v>2024</v>
      </c>
      <c r="C57" s="26"/>
      <c r="D57" s="27"/>
      <c r="E57" s="27"/>
      <c r="F57" s="28">
        <v>11.5</v>
      </c>
      <c r="G57" s="29">
        <v>2.92</v>
      </c>
      <c r="H57" s="30"/>
      <c r="I57" s="30"/>
      <c r="J57" s="30"/>
      <c r="K57" s="28"/>
    </row>
    <row r="58" spans="1:11" x14ac:dyDescent="0.3">
      <c r="A58" s="24" t="s">
        <v>49</v>
      </c>
      <c r="B58" s="25">
        <v>2020</v>
      </c>
      <c r="C58" s="26">
        <v>3.91</v>
      </c>
      <c r="D58" s="27">
        <v>66.95</v>
      </c>
      <c r="E58" s="27">
        <v>31.5</v>
      </c>
      <c r="F58" s="28">
        <v>2.6</v>
      </c>
      <c r="G58" s="29">
        <v>2.2400000000000002</v>
      </c>
      <c r="H58" s="30">
        <v>2550.96</v>
      </c>
      <c r="I58" s="30"/>
      <c r="J58" s="30">
        <v>441.02</v>
      </c>
      <c r="K58" s="28">
        <v>82.57</v>
      </c>
    </row>
    <row r="59" spans="1:11" x14ac:dyDescent="0.3">
      <c r="A59" s="24" t="s">
        <v>49</v>
      </c>
      <c r="B59" s="25">
        <v>2021</v>
      </c>
      <c r="C59" s="26">
        <v>3.84</v>
      </c>
      <c r="D59" s="27">
        <v>66.849999999999994</v>
      </c>
      <c r="E59" s="27">
        <v>31.1</v>
      </c>
      <c r="F59" s="28">
        <v>2.4</v>
      </c>
      <c r="G59" s="29">
        <v>2.19</v>
      </c>
      <c r="H59" s="30">
        <v>2641.35</v>
      </c>
      <c r="I59" s="30"/>
      <c r="J59" s="30">
        <v>467.24</v>
      </c>
      <c r="K59" s="28">
        <v>82.43</v>
      </c>
    </row>
    <row r="60" spans="1:11" x14ac:dyDescent="0.3">
      <c r="A60" s="24" t="s">
        <v>49</v>
      </c>
      <c r="B60" s="25">
        <v>2022</v>
      </c>
      <c r="C60" s="26">
        <v>3.78</v>
      </c>
      <c r="D60" s="27">
        <v>67.53</v>
      </c>
      <c r="E60" s="27">
        <v>30.8</v>
      </c>
      <c r="F60" s="28">
        <v>2.2999999999999998</v>
      </c>
      <c r="G60" s="29">
        <v>2.19</v>
      </c>
      <c r="H60" s="30">
        <v>2735.81</v>
      </c>
      <c r="I60" s="30"/>
      <c r="J60" s="30">
        <v>495.85</v>
      </c>
      <c r="K60" s="28">
        <v>82.28</v>
      </c>
    </row>
    <row r="61" spans="1:11" x14ac:dyDescent="0.3">
      <c r="A61" s="24" t="s">
        <v>49</v>
      </c>
      <c r="B61" s="25">
        <v>2023</v>
      </c>
      <c r="C61" s="26">
        <v>3.7</v>
      </c>
      <c r="D61" s="27">
        <v>67.78</v>
      </c>
      <c r="E61" s="27">
        <v>30.5</v>
      </c>
      <c r="F61" s="28">
        <v>2.2000000000000002</v>
      </c>
      <c r="G61" s="29">
        <v>2.2000000000000002</v>
      </c>
      <c r="H61" s="30">
        <v>2830.47</v>
      </c>
      <c r="I61" s="30"/>
      <c r="J61" s="30">
        <v>520.17999999999995</v>
      </c>
      <c r="K61" s="28">
        <v>82.11</v>
      </c>
    </row>
    <row r="62" spans="1:11" x14ac:dyDescent="0.3">
      <c r="A62" s="24" t="s">
        <v>49</v>
      </c>
      <c r="B62" s="25">
        <v>2024</v>
      </c>
      <c r="C62" s="26"/>
      <c r="D62" s="27"/>
      <c r="E62" s="27"/>
      <c r="F62" s="28">
        <v>2</v>
      </c>
      <c r="G62" s="29">
        <v>2.14</v>
      </c>
      <c r="H62" s="30"/>
      <c r="I62" s="30"/>
      <c r="J62" s="30"/>
      <c r="K62" s="28"/>
    </row>
    <row r="63" spans="1:11" x14ac:dyDescent="0.3">
      <c r="A63" s="24" t="s">
        <v>50</v>
      </c>
      <c r="B63" s="25">
        <v>2020</v>
      </c>
      <c r="C63" s="26">
        <v>2.29</v>
      </c>
      <c r="D63" s="27">
        <v>77.239999999999995</v>
      </c>
      <c r="E63" s="27">
        <v>13.6</v>
      </c>
      <c r="F63" s="28"/>
      <c r="G63" s="29">
        <v>0.85</v>
      </c>
      <c r="H63" s="30">
        <v>16.600000000000001</v>
      </c>
      <c r="I63" s="30"/>
      <c r="J63" s="30">
        <v>8.86</v>
      </c>
      <c r="K63" s="28">
        <v>42.45</v>
      </c>
    </row>
    <row r="64" spans="1:11" x14ac:dyDescent="0.3">
      <c r="A64" s="24" t="s">
        <v>50</v>
      </c>
      <c r="B64" s="25">
        <v>2021</v>
      </c>
      <c r="C64" s="26">
        <v>2.46</v>
      </c>
      <c r="D64" s="27">
        <v>73.400000000000006</v>
      </c>
      <c r="E64" s="27">
        <v>13.5</v>
      </c>
      <c r="F64" s="28"/>
      <c r="G64" s="29">
        <v>0.81</v>
      </c>
      <c r="H64" s="30">
        <v>16.28</v>
      </c>
      <c r="I64" s="30"/>
      <c r="J64" s="30">
        <v>9.3699999999999992</v>
      </c>
      <c r="K64" s="28">
        <v>42.03</v>
      </c>
    </row>
    <row r="65" spans="1:11" x14ac:dyDescent="0.3">
      <c r="A65" s="24" t="s">
        <v>50</v>
      </c>
      <c r="B65" s="25">
        <v>2022</v>
      </c>
      <c r="C65" s="26">
        <v>2.0099999999999998</v>
      </c>
      <c r="D65" s="27">
        <v>73.7</v>
      </c>
      <c r="E65" s="27">
        <v>13.3</v>
      </c>
      <c r="F65" s="28"/>
      <c r="G65" s="29"/>
      <c r="H65" s="30">
        <v>15.97</v>
      </c>
      <c r="I65" s="30"/>
      <c r="J65" s="30">
        <v>10.039999999999999</v>
      </c>
      <c r="K65" s="28">
        <v>41.6</v>
      </c>
    </row>
    <row r="66" spans="1:11" x14ac:dyDescent="0.3">
      <c r="A66" s="24" t="s">
        <v>50</v>
      </c>
      <c r="B66" s="25">
        <v>2023</v>
      </c>
      <c r="C66" s="26">
        <v>2.02</v>
      </c>
      <c r="D66" s="27">
        <v>74.959999999999994</v>
      </c>
      <c r="E66" s="27">
        <v>13.1</v>
      </c>
      <c r="F66" s="28"/>
      <c r="G66" s="29">
        <v>-0.09</v>
      </c>
      <c r="H66" s="30">
        <v>16.190000000000001</v>
      </c>
      <c r="I66" s="30"/>
      <c r="J66" s="30">
        <v>10.41</v>
      </c>
      <c r="K66" s="28">
        <v>41.18</v>
      </c>
    </row>
    <row r="67" spans="1:11" x14ac:dyDescent="0.3">
      <c r="A67" s="24" t="s">
        <v>50</v>
      </c>
      <c r="B67" s="25">
        <v>2024</v>
      </c>
      <c r="C67" s="26"/>
      <c r="D67" s="27"/>
      <c r="E67" s="27"/>
      <c r="F67" s="28"/>
      <c r="G67" s="29">
        <v>1.31</v>
      </c>
      <c r="H67" s="30"/>
      <c r="I67" s="30"/>
      <c r="J67" s="30"/>
      <c r="K67" s="28"/>
    </row>
    <row r="68" spans="1:11" x14ac:dyDescent="0.3">
      <c r="A68" s="24" t="s">
        <v>51</v>
      </c>
      <c r="B68" s="25">
        <v>2020</v>
      </c>
      <c r="C68" s="26">
        <v>6.45</v>
      </c>
      <c r="D68" s="27">
        <v>57.09</v>
      </c>
      <c r="E68" s="27">
        <v>73.7</v>
      </c>
      <c r="F68" s="28">
        <v>0.1</v>
      </c>
      <c r="G68" s="29">
        <v>3.8</v>
      </c>
      <c r="H68" s="30">
        <v>3292.12</v>
      </c>
      <c r="I68" s="30"/>
      <c r="J68" s="30">
        <v>413.58</v>
      </c>
      <c r="K68" s="28">
        <v>53.86</v>
      </c>
    </row>
    <row r="69" spans="1:11" x14ac:dyDescent="0.3">
      <c r="A69" s="24" t="s">
        <v>51</v>
      </c>
      <c r="B69" s="25">
        <v>2021</v>
      </c>
      <c r="C69" s="26">
        <v>6.35</v>
      </c>
      <c r="D69" s="27">
        <v>55.7</v>
      </c>
      <c r="E69" s="27">
        <v>71.8</v>
      </c>
      <c r="F69" s="28">
        <v>0.1</v>
      </c>
      <c r="G69" s="29">
        <v>3.66</v>
      </c>
      <c r="H69" s="30">
        <v>3418.44</v>
      </c>
      <c r="I69" s="30"/>
      <c r="J69" s="30">
        <v>431.38</v>
      </c>
      <c r="K69" s="28">
        <v>53.27</v>
      </c>
    </row>
    <row r="70" spans="1:11" x14ac:dyDescent="0.3">
      <c r="A70" s="24" t="s">
        <v>51</v>
      </c>
      <c r="B70" s="25">
        <v>2022</v>
      </c>
      <c r="C70" s="26">
        <v>6.25</v>
      </c>
      <c r="D70" s="27">
        <v>53.93</v>
      </c>
      <c r="E70" s="27">
        <v>89.9</v>
      </c>
      <c r="F70" s="28">
        <v>0.1</v>
      </c>
      <c r="G70" s="29">
        <v>3.03</v>
      </c>
      <c r="H70" s="30">
        <v>3538.04</v>
      </c>
      <c r="I70" s="30"/>
      <c r="J70" s="30">
        <v>445</v>
      </c>
      <c r="K70" s="28">
        <v>52.68</v>
      </c>
    </row>
    <row r="71" spans="1:11" x14ac:dyDescent="0.3">
      <c r="A71" s="24" t="s">
        <v>51</v>
      </c>
      <c r="B71" s="25">
        <v>2023</v>
      </c>
      <c r="C71" s="26">
        <v>6.13</v>
      </c>
      <c r="D71" s="27">
        <v>58.82</v>
      </c>
      <c r="E71" s="27">
        <v>67.8</v>
      </c>
      <c r="F71" s="28">
        <v>0.1</v>
      </c>
      <c r="G71" s="29">
        <v>3.08</v>
      </c>
      <c r="H71" s="30">
        <v>3628.7</v>
      </c>
      <c r="I71" s="30"/>
      <c r="J71" s="30">
        <v>459.98</v>
      </c>
      <c r="K71" s="28">
        <v>52.08</v>
      </c>
    </row>
    <row r="72" spans="1:11" x14ac:dyDescent="0.3">
      <c r="A72" s="24" t="s">
        <v>51</v>
      </c>
      <c r="B72" s="25">
        <v>2024</v>
      </c>
      <c r="C72" s="26"/>
      <c r="D72" s="27"/>
      <c r="E72" s="27"/>
      <c r="F72" s="28">
        <v>0.1</v>
      </c>
      <c r="G72" s="29">
        <v>3.48</v>
      </c>
      <c r="H72" s="30"/>
      <c r="I72" s="30"/>
      <c r="J72" s="30"/>
      <c r="K72" s="28"/>
    </row>
    <row r="73" spans="1:11" x14ac:dyDescent="0.3">
      <c r="A73" s="24" t="s">
        <v>52</v>
      </c>
      <c r="B73" s="25">
        <v>2020</v>
      </c>
      <c r="C73" s="26">
        <v>4.16</v>
      </c>
      <c r="D73" s="27">
        <v>57.65</v>
      </c>
      <c r="E73" s="27">
        <v>72.599999999999994</v>
      </c>
      <c r="F73" s="28">
        <v>1.7</v>
      </c>
      <c r="G73" s="29">
        <v>2.6</v>
      </c>
      <c r="H73" s="30">
        <v>2056.15</v>
      </c>
      <c r="I73" s="30"/>
      <c r="J73" s="30">
        <v>281.12</v>
      </c>
      <c r="K73" s="28">
        <v>79.8</v>
      </c>
    </row>
    <row r="74" spans="1:11" x14ac:dyDescent="0.3">
      <c r="A74" s="24" t="s">
        <v>52</v>
      </c>
      <c r="B74" s="25">
        <v>2021</v>
      </c>
      <c r="C74" s="26">
        <v>4.05</v>
      </c>
      <c r="D74" s="27">
        <v>57.05</v>
      </c>
      <c r="E74" s="27">
        <v>72.599999999999994</v>
      </c>
      <c r="F74" s="28">
        <v>1.7</v>
      </c>
      <c r="G74" s="29">
        <v>1.55</v>
      </c>
      <c r="H74" s="30">
        <v>2208.9699999999998</v>
      </c>
      <c r="I74" s="30"/>
      <c r="J74" s="30">
        <v>295.3</v>
      </c>
      <c r="K74" s="28">
        <v>79.489999999999995</v>
      </c>
    </row>
    <row r="75" spans="1:11" x14ac:dyDescent="0.3">
      <c r="A75" s="24" t="s">
        <v>52</v>
      </c>
      <c r="B75" s="25">
        <v>2022</v>
      </c>
      <c r="C75" s="26">
        <v>3.96</v>
      </c>
      <c r="D75" s="27">
        <v>57.2</v>
      </c>
      <c r="E75" s="27">
        <v>72.599999999999994</v>
      </c>
      <c r="F75" s="28">
        <v>1.6</v>
      </c>
      <c r="G75" s="29">
        <v>1.42</v>
      </c>
      <c r="H75" s="30">
        <v>2294.23</v>
      </c>
      <c r="I75" s="30"/>
      <c r="J75" s="30">
        <v>304.86</v>
      </c>
      <c r="K75" s="28">
        <v>79.150000000000006</v>
      </c>
    </row>
    <row r="76" spans="1:11" x14ac:dyDescent="0.3">
      <c r="A76" s="24" t="s">
        <v>52</v>
      </c>
      <c r="B76" s="25">
        <v>2023</v>
      </c>
      <c r="C76" s="26">
        <v>3.86</v>
      </c>
      <c r="D76" s="27">
        <v>57.62</v>
      </c>
      <c r="E76" s="27">
        <v>72.599999999999994</v>
      </c>
      <c r="F76" s="28">
        <v>1.6</v>
      </c>
      <c r="G76" s="29">
        <v>4.1100000000000003</v>
      </c>
      <c r="H76" s="30">
        <v>2443.3000000000002</v>
      </c>
      <c r="I76" s="30"/>
      <c r="J76" s="30">
        <v>320.22000000000003</v>
      </c>
      <c r="K76" s="28">
        <v>78.81</v>
      </c>
    </row>
    <row r="77" spans="1:11" x14ac:dyDescent="0.3">
      <c r="A77" s="24" t="s">
        <v>52</v>
      </c>
      <c r="B77" s="25">
        <v>2024</v>
      </c>
      <c r="C77" s="26"/>
      <c r="D77" s="27"/>
      <c r="E77" s="27"/>
      <c r="F77" s="28">
        <v>1.5</v>
      </c>
      <c r="G77" s="29">
        <v>3.93</v>
      </c>
      <c r="H77" s="30"/>
      <c r="I77" s="30"/>
      <c r="J77" s="30"/>
      <c r="K77" s="28"/>
    </row>
    <row r="78" spans="1:11" x14ac:dyDescent="0.3">
      <c r="A78" s="24" t="s">
        <v>53</v>
      </c>
      <c r="B78" s="25">
        <v>2020</v>
      </c>
      <c r="C78" s="26">
        <v>4.62</v>
      </c>
      <c r="D78" s="27">
        <v>66.41</v>
      </c>
      <c r="E78" s="27">
        <v>30.6</v>
      </c>
      <c r="F78" s="28">
        <v>5.8</v>
      </c>
      <c r="G78" s="29">
        <v>3.33</v>
      </c>
      <c r="H78" s="30">
        <v>9603.23</v>
      </c>
      <c r="I78" s="30"/>
      <c r="J78" s="30">
        <v>896.74</v>
      </c>
      <c r="K78" s="28">
        <v>75.05</v>
      </c>
    </row>
    <row r="79" spans="1:11" x14ac:dyDescent="0.3">
      <c r="A79" s="24" t="s">
        <v>53</v>
      </c>
      <c r="B79" s="25">
        <v>2021</v>
      </c>
      <c r="C79" s="26">
        <v>4.51</v>
      </c>
      <c r="D79" s="27">
        <v>66.45</v>
      </c>
      <c r="E79" s="27">
        <v>29.5</v>
      </c>
      <c r="F79" s="28">
        <v>5.6</v>
      </c>
      <c r="G79" s="29">
        <v>3.22</v>
      </c>
      <c r="H79" s="30">
        <v>9908.2000000000007</v>
      </c>
      <c r="I79" s="30"/>
      <c r="J79" s="30">
        <v>936.55</v>
      </c>
      <c r="K79" s="28">
        <v>74.45</v>
      </c>
    </row>
    <row r="80" spans="1:11" x14ac:dyDescent="0.3">
      <c r="A80" s="24" t="s">
        <v>53</v>
      </c>
      <c r="B80" s="25">
        <v>2022</v>
      </c>
      <c r="C80" s="26">
        <v>4.3899999999999997</v>
      </c>
      <c r="D80" s="27">
        <v>67.67</v>
      </c>
      <c r="E80" s="27">
        <v>28.7</v>
      </c>
      <c r="F80" s="28">
        <v>5.4</v>
      </c>
      <c r="G80" s="29">
        <v>3.01</v>
      </c>
      <c r="H80" s="30">
        <v>10220.34</v>
      </c>
      <c r="I80" s="30"/>
      <c r="J80" s="30">
        <v>978.65</v>
      </c>
      <c r="K80" s="28">
        <v>73.84</v>
      </c>
    </row>
    <row r="81" spans="1:11" x14ac:dyDescent="0.3">
      <c r="A81" s="24" t="s">
        <v>53</v>
      </c>
      <c r="B81" s="25">
        <v>2023</v>
      </c>
      <c r="C81" s="26">
        <v>4.28</v>
      </c>
      <c r="D81" s="27">
        <v>68.25</v>
      </c>
      <c r="E81" s="27">
        <v>27.6</v>
      </c>
      <c r="F81" s="28">
        <v>5.2</v>
      </c>
      <c r="G81" s="29">
        <v>2.8</v>
      </c>
      <c r="H81" s="30">
        <v>10472.6</v>
      </c>
      <c r="I81" s="30"/>
      <c r="J81" s="30">
        <v>1022.87</v>
      </c>
      <c r="K81" s="28">
        <v>73.23</v>
      </c>
    </row>
    <row r="82" spans="1:11" x14ac:dyDescent="0.3">
      <c r="A82" s="24" t="s">
        <v>53</v>
      </c>
      <c r="B82" s="25">
        <v>2024</v>
      </c>
      <c r="C82" s="26"/>
      <c r="D82" s="27"/>
      <c r="E82" s="27"/>
      <c r="F82" s="28">
        <v>4.9000000000000004</v>
      </c>
      <c r="G82" s="29">
        <v>2.75</v>
      </c>
      <c r="H82" s="30"/>
      <c r="I82" s="30"/>
      <c r="J82" s="30"/>
      <c r="K82" s="28"/>
    </row>
    <row r="83" spans="1:11" x14ac:dyDescent="0.3">
      <c r="A83" s="24" t="s">
        <v>54</v>
      </c>
      <c r="B83" s="25">
        <v>2020</v>
      </c>
      <c r="C83" s="26">
        <v>4.8</v>
      </c>
      <c r="D83" s="27">
        <v>66.77</v>
      </c>
      <c r="E83" s="27">
        <v>33.5</v>
      </c>
      <c r="F83" s="28">
        <v>4.0999999999999996</v>
      </c>
      <c r="G83" s="29">
        <v>2.99</v>
      </c>
      <c r="H83" s="30">
        <v>12129.75</v>
      </c>
      <c r="I83" s="30"/>
      <c r="J83" s="30">
        <v>1808.58</v>
      </c>
      <c r="K83" s="28">
        <v>64.77</v>
      </c>
    </row>
    <row r="84" spans="1:11" x14ac:dyDescent="0.3">
      <c r="A84" s="24" t="s">
        <v>54</v>
      </c>
      <c r="B84" s="25">
        <v>2021</v>
      </c>
      <c r="C84" s="26">
        <v>4.7300000000000004</v>
      </c>
      <c r="D84" s="27">
        <v>66.13</v>
      </c>
      <c r="E84" s="27">
        <v>32.4</v>
      </c>
      <c r="F84" s="28">
        <v>4</v>
      </c>
      <c r="G84" s="29">
        <v>3</v>
      </c>
      <c r="H84" s="30">
        <v>12528.77</v>
      </c>
      <c r="I84" s="30"/>
      <c r="J84" s="30">
        <v>1872.95</v>
      </c>
      <c r="K84" s="28">
        <v>64.05</v>
      </c>
    </row>
    <row r="85" spans="1:11" x14ac:dyDescent="0.3">
      <c r="A85" s="24" t="s">
        <v>54</v>
      </c>
      <c r="B85" s="25">
        <v>2022</v>
      </c>
      <c r="C85" s="26">
        <v>4.67</v>
      </c>
      <c r="D85" s="27">
        <v>66.88</v>
      </c>
      <c r="E85" s="27">
        <v>31.2</v>
      </c>
      <c r="F85" s="28">
        <v>3.9</v>
      </c>
      <c r="G85" s="29">
        <v>2.95</v>
      </c>
      <c r="H85" s="30">
        <v>12924.21</v>
      </c>
      <c r="I85" s="30"/>
      <c r="J85" s="30">
        <v>1931.8</v>
      </c>
      <c r="K85" s="28">
        <v>63.32</v>
      </c>
    </row>
    <row r="86" spans="1:11" x14ac:dyDescent="0.3">
      <c r="A86" s="24" t="s">
        <v>54</v>
      </c>
      <c r="B86" s="25">
        <v>2023</v>
      </c>
      <c r="C86" s="26">
        <v>4.6100000000000003</v>
      </c>
      <c r="D86" s="27">
        <v>67</v>
      </c>
      <c r="E86" s="27">
        <v>29.9</v>
      </c>
      <c r="F86" s="28">
        <v>3.7</v>
      </c>
      <c r="G86" s="29">
        <v>2.9</v>
      </c>
      <c r="H86" s="30">
        <v>13302.56</v>
      </c>
      <c r="I86" s="30"/>
      <c r="J86" s="30">
        <v>1996.28</v>
      </c>
      <c r="K86" s="28">
        <v>62.59</v>
      </c>
    </row>
    <row r="87" spans="1:11" x14ac:dyDescent="0.3">
      <c r="A87" s="24" t="s">
        <v>54</v>
      </c>
      <c r="B87" s="25">
        <v>2024</v>
      </c>
      <c r="C87" s="26"/>
      <c r="D87" s="27"/>
      <c r="E87" s="27"/>
      <c r="F87" s="28">
        <v>3.5</v>
      </c>
      <c r="G87" s="29">
        <v>2.87</v>
      </c>
      <c r="H87" s="30"/>
      <c r="I87" s="30"/>
      <c r="J87" s="30"/>
      <c r="K87" s="28"/>
    </row>
    <row r="88" spans="1:11" x14ac:dyDescent="0.3">
      <c r="A88" s="24" t="s">
        <v>55</v>
      </c>
      <c r="B88" s="25">
        <v>2020</v>
      </c>
      <c r="C88" s="26">
        <v>4.32</v>
      </c>
      <c r="D88" s="27">
        <v>63.36</v>
      </c>
      <c r="E88" s="27">
        <v>34.5</v>
      </c>
      <c r="F88" s="28">
        <v>11.1</v>
      </c>
      <c r="G88" s="29">
        <v>2.9</v>
      </c>
      <c r="H88" s="30">
        <v>3809.66</v>
      </c>
      <c r="I88" s="30"/>
      <c r="J88" s="30">
        <v>337.8</v>
      </c>
      <c r="K88" s="28">
        <v>55.37</v>
      </c>
    </row>
    <row r="89" spans="1:11" x14ac:dyDescent="0.3">
      <c r="A89" s="24" t="s">
        <v>55</v>
      </c>
      <c r="B89" s="25">
        <v>2021</v>
      </c>
      <c r="C89" s="26">
        <v>4.25</v>
      </c>
      <c r="D89" s="27">
        <v>62.36</v>
      </c>
      <c r="E89" s="27">
        <v>33.4</v>
      </c>
      <c r="F89" s="28">
        <v>10.7</v>
      </c>
      <c r="G89" s="29">
        <v>2.82</v>
      </c>
      <c r="H89" s="30">
        <v>3934.01</v>
      </c>
      <c r="I89" s="30"/>
      <c r="J89" s="30">
        <v>351.5</v>
      </c>
      <c r="K89" s="28">
        <v>54.81</v>
      </c>
    </row>
    <row r="90" spans="1:11" x14ac:dyDescent="0.3">
      <c r="A90" s="24" t="s">
        <v>55</v>
      </c>
      <c r="B90" s="25">
        <v>2022</v>
      </c>
      <c r="C90" s="26">
        <v>4.17</v>
      </c>
      <c r="D90" s="27">
        <v>65.28</v>
      </c>
      <c r="E90" s="27">
        <v>32.200000000000003</v>
      </c>
      <c r="F90" s="28">
        <v>10.3</v>
      </c>
      <c r="G90" s="29">
        <v>2.76</v>
      </c>
      <c r="H90" s="30">
        <v>4066.34</v>
      </c>
      <c r="I90" s="30"/>
      <c r="J90" s="30">
        <v>364.81</v>
      </c>
      <c r="K90" s="28">
        <v>54.24</v>
      </c>
    </row>
    <row r="91" spans="1:11" x14ac:dyDescent="0.3">
      <c r="A91" s="24" t="s">
        <v>55</v>
      </c>
      <c r="B91" s="25">
        <v>2023</v>
      </c>
      <c r="C91" s="26">
        <v>4.0999999999999996</v>
      </c>
      <c r="D91" s="27">
        <v>66.349999999999994</v>
      </c>
      <c r="E91" s="27">
        <v>30.9</v>
      </c>
      <c r="F91" s="28">
        <v>9.8000000000000007</v>
      </c>
      <c r="G91" s="29">
        <v>2.79</v>
      </c>
      <c r="H91" s="30">
        <v>4198.53</v>
      </c>
      <c r="I91" s="30"/>
      <c r="J91" s="30">
        <v>383.31</v>
      </c>
      <c r="K91" s="28">
        <v>53.66</v>
      </c>
    </row>
    <row r="92" spans="1:11" x14ac:dyDescent="0.3">
      <c r="A92" s="24" t="s">
        <v>55</v>
      </c>
      <c r="B92" s="25">
        <v>2024</v>
      </c>
      <c r="C92" s="26"/>
      <c r="D92" s="27"/>
      <c r="E92" s="27"/>
      <c r="F92" s="28">
        <v>9.4</v>
      </c>
      <c r="G92" s="29">
        <v>2.81</v>
      </c>
      <c r="H92" s="30"/>
      <c r="I92" s="30"/>
      <c r="J92" s="30"/>
      <c r="K92" s="28"/>
    </row>
    <row r="93" spans="1:11" x14ac:dyDescent="0.3">
      <c r="A93" s="24" t="s">
        <v>56</v>
      </c>
      <c r="B93" s="25">
        <v>2020</v>
      </c>
      <c r="C93" s="26">
        <v>3.75</v>
      </c>
      <c r="D93" s="27">
        <v>61.53</v>
      </c>
      <c r="E93" s="27">
        <v>44.9</v>
      </c>
      <c r="F93" s="28">
        <v>12</v>
      </c>
      <c r="G93" s="29">
        <v>1.66</v>
      </c>
      <c r="H93" s="30">
        <v>3029.04</v>
      </c>
      <c r="I93" s="30"/>
      <c r="J93" s="30">
        <v>548.88</v>
      </c>
      <c r="K93" s="28">
        <v>67.760000000000005</v>
      </c>
    </row>
    <row r="94" spans="1:11" x14ac:dyDescent="0.3">
      <c r="A94" s="24" t="s">
        <v>56</v>
      </c>
      <c r="B94" s="25">
        <v>2021</v>
      </c>
      <c r="C94" s="26">
        <v>3.77</v>
      </c>
      <c r="D94" s="27">
        <v>60.13</v>
      </c>
      <c r="E94" s="27">
        <v>43.6</v>
      </c>
      <c r="F94" s="28">
        <v>11.5</v>
      </c>
      <c r="G94" s="29">
        <v>1.73</v>
      </c>
      <c r="H94" s="30">
        <v>3135.71</v>
      </c>
      <c r="I94" s="30"/>
      <c r="J94" s="30">
        <v>563.36</v>
      </c>
      <c r="K94" s="28">
        <v>67.7</v>
      </c>
    </row>
    <row r="95" spans="1:11" x14ac:dyDescent="0.3">
      <c r="A95" s="24" t="s">
        <v>56</v>
      </c>
      <c r="B95" s="25">
        <v>2022</v>
      </c>
      <c r="C95" s="26">
        <v>3.77</v>
      </c>
      <c r="D95" s="27">
        <v>62.36</v>
      </c>
      <c r="E95" s="27">
        <v>42.2</v>
      </c>
      <c r="F95" s="28">
        <v>10.9</v>
      </c>
      <c r="G95" s="29">
        <v>1.71</v>
      </c>
      <c r="H95" s="30">
        <v>3236.11</v>
      </c>
      <c r="I95" s="30"/>
      <c r="J95" s="30">
        <v>573.4</v>
      </c>
      <c r="K95" s="28">
        <v>67.61</v>
      </c>
    </row>
    <row r="96" spans="1:11" x14ac:dyDescent="0.3">
      <c r="A96" s="24" t="s">
        <v>56</v>
      </c>
      <c r="B96" s="25">
        <v>2023</v>
      </c>
      <c r="C96" s="26">
        <v>3.72</v>
      </c>
      <c r="D96" s="27">
        <v>62.77</v>
      </c>
      <c r="E96" s="27">
        <v>40.6</v>
      </c>
      <c r="F96" s="28">
        <v>10.3</v>
      </c>
      <c r="G96" s="29">
        <v>1.68</v>
      </c>
      <c r="H96" s="30">
        <v>3336.47</v>
      </c>
      <c r="I96" s="30"/>
      <c r="J96" s="30">
        <v>586.22</v>
      </c>
      <c r="K96" s="28">
        <v>67.48</v>
      </c>
    </row>
    <row r="97" spans="1:11" x14ac:dyDescent="0.3">
      <c r="A97" s="24" t="s">
        <v>56</v>
      </c>
      <c r="B97" s="25">
        <v>2024</v>
      </c>
      <c r="C97" s="26"/>
      <c r="D97" s="27"/>
      <c r="E97" s="27"/>
      <c r="F97" s="28">
        <v>9.8000000000000007</v>
      </c>
      <c r="G97" s="29">
        <v>1.78</v>
      </c>
      <c r="H97" s="30"/>
      <c r="I97" s="30"/>
      <c r="J97" s="30"/>
      <c r="K97" s="28"/>
    </row>
  </sheetData>
  <autoFilter ref="A2:K97" xr:uid="{00000000-0009-0000-0000-000001000000}"/>
  <mergeCells count="4">
    <mergeCell ref="A1:A2"/>
    <mergeCell ref="B1:B2"/>
    <mergeCell ref="D1:F1"/>
    <mergeCell ref="G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ColWidth="8.6640625" defaultRowHeight="14.4" x14ac:dyDescent="0.3"/>
  <cols>
    <col min="1" max="1" width="30" customWidth="1"/>
    <col min="2" max="10" width="16" customWidth="1"/>
  </cols>
  <sheetData>
    <row r="1" spans="1:10" ht="21.75" customHeight="1" x14ac:dyDescent="0.3">
      <c r="A1" s="1" t="s">
        <v>29</v>
      </c>
      <c r="B1" s="18" t="s">
        <v>13</v>
      </c>
      <c r="C1" s="3" t="s">
        <v>15</v>
      </c>
      <c r="D1" s="3"/>
      <c r="E1" s="3"/>
      <c r="F1" s="2" t="s">
        <v>17</v>
      </c>
      <c r="G1" s="2"/>
      <c r="H1" s="2"/>
      <c r="I1" s="2"/>
      <c r="J1" s="19" t="s">
        <v>19</v>
      </c>
    </row>
    <row r="2" spans="1:10" ht="48" customHeight="1" x14ac:dyDescent="0.3">
      <c r="A2" s="1"/>
      <c r="B2" s="20" t="s">
        <v>14</v>
      </c>
      <c r="C2" s="21" t="s">
        <v>31</v>
      </c>
      <c r="D2" s="21" t="s">
        <v>32</v>
      </c>
      <c r="E2" s="21" t="s">
        <v>33</v>
      </c>
      <c r="F2" s="22" t="s">
        <v>34</v>
      </c>
      <c r="G2" s="22" t="s">
        <v>35</v>
      </c>
      <c r="H2" s="22" t="s">
        <v>36</v>
      </c>
      <c r="I2" s="22" t="s">
        <v>37</v>
      </c>
      <c r="J2" s="23" t="s">
        <v>20</v>
      </c>
    </row>
    <row r="3" spans="1:10" x14ac:dyDescent="0.3">
      <c r="A3" s="24" t="s">
        <v>38</v>
      </c>
      <c r="B3" s="26">
        <f>IFERROR(SUMIFS(Data!C$3:C$97,Data!$A$3:$A$97,$A3,Data!$B$3:$B$97,2023),"n/a")</f>
        <v>4.88</v>
      </c>
      <c r="C3" s="27">
        <f>IFERROR(SUMIFS(Data!D$3:D$97,Data!$A$3:$A$97,$A3,Data!$B$3:$B$97,2023),"n/a")</f>
        <v>63.65</v>
      </c>
      <c r="D3" s="27">
        <f>IFERROR(SUMIFS(Data!E$3:E$97,Data!$A$3:$A$97,$A3,Data!$B$3:$B$97,2023),"n/a")</f>
        <v>31.5</v>
      </c>
      <c r="E3" s="28">
        <f>IFERROR(SUMIFS(Data!F$3:F$97,Data!$A$3:$A$97,$A3,Data!$B$3:$B$97,2024),"n/a")</f>
        <v>0.8</v>
      </c>
      <c r="F3" s="29">
        <f>IFERROR(SUMIFS(Data!G$3:G$97,Data!$A$3:$A$97,$A3,Data!$B$3:$B$97,2024),"n/a")</f>
        <v>2.58</v>
      </c>
      <c r="G3" s="30">
        <f>IFERROR(SUMIFS(Data!H$3:H$97,Data!$A$3:$A$97,$A3,Data!$B$3:$B$97,2023),"n/a")</f>
        <v>2580.83</v>
      </c>
      <c r="H3" s="30">
        <f>IFERROR(SUMIFS(Data!I$3:I$97,Data!$A$3:$A$97,$A3,Data!$B$3:$B$97,2023),"n/a")</f>
        <v>4414.82</v>
      </c>
      <c r="I3" s="30">
        <f>IFERROR(SUMIFS(Data!J$3:J$97,Data!$A$3:$A$97,$A3,Data!$B$3:$B$97,2023),"n/a")</f>
        <v>337.31</v>
      </c>
      <c r="J3" s="28">
        <f>IFERROR(SUMIFS(Data!K$3:K$97,Data!$A$3:$A$97,$A3,Data!$B$3:$B$97,2023),"n/a")</f>
        <v>85.22</v>
      </c>
    </row>
    <row r="4" spans="1:10" x14ac:dyDescent="0.3">
      <c r="A4" s="24" t="s">
        <v>39</v>
      </c>
      <c r="B4" s="26">
        <f>IFERROR(SUMIFS(Data!C$3:C$97,Data!$A$3:$A$97,$A4,Data!$B$3:$B$97,2023),"n/a")</f>
        <v>3.88</v>
      </c>
      <c r="C4" s="27">
        <f>IFERROR(SUMIFS(Data!D$3:D$97,Data!$A$3:$A$97,$A4,Data!$B$3:$B$97,2023),"n/a")</f>
        <v>66.78</v>
      </c>
      <c r="D4" s="27">
        <f>IFERROR(SUMIFS(Data!E$3:E$97,Data!$A$3:$A$97,$A4,Data!$B$3:$B$97,2023),"n/a")</f>
        <v>35.700000000000003</v>
      </c>
      <c r="E4" s="28">
        <f>IFERROR(SUMIFS(Data!F$3:F$97,Data!$A$3:$A$97,$A4,Data!$B$3:$B$97,2024),"n/a")</f>
        <v>0.1</v>
      </c>
      <c r="F4" s="29">
        <f>IFERROR(SUMIFS(Data!G$3:G$97,Data!$A$3:$A$97,$A4,Data!$B$3:$B$97,2024),"n/a")</f>
        <v>1.89</v>
      </c>
      <c r="G4" s="30">
        <f>IFERROR(SUMIFS(Data!H$3:H$97,Data!$A$3:$A$97,$A4,Data!$B$3:$B$97,2023),"n/a")</f>
        <v>162.11000000000001</v>
      </c>
      <c r="H4" s="30">
        <f>IFERROR(SUMIFS(Data!I$3:I$97,Data!$A$3:$A$97,$A4,Data!$B$3:$B$97,2023),"n/a")</f>
        <v>326.17</v>
      </c>
      <c r="I4" s="30">
        <f>IFERROR(SUMIFS(Data!J$3:J$97,Data!$A$3:$A$97,$A4,Data!$B$3:$B$97,2023),"n/a")</f>
        <v>37.590000000000003</v>
      </c>
      <c r="J4" s="28">
        <f>IFERROR(SUMIFS(Data!K$3:K$97,Data!$A$3:$A$97,$A4,Data!$B$3:$B$97,2023),"n/a")</f>
        <v>69.87</v>
      </c>
    </row>
    <row r="5" spans="1:10" x14ac:dyDescent="0.3">
      <c r="A5" s="24" t="s">
        <v>40</v>
      </c>
      <c r="B5" s="26">
        <f>IFERROR(SUMIFS(Data!C$3:C$97,Data!$A$3:$A$97,$A5,Data!$B$3:$B$97,2023),"n/a")</f>
        <v>6.05</v>
      </c>
      <c r="C5" s="27">
        <f>IFERROR(SUMIFS(Data!D$3:D$97,Data!$A$3:$A$97,$A5,Data!$B$3:$B$97,2023),"n/a")</f>
        <v>61.9</v>
      </c>
      <c r="D5" s="27">
        <f>IFERROR(SUMIFS(Data!E$3:E$97,Data!$A$3:$A$97,$A5,Data!$B$3:$B$97,2023),"n/a")</f>
        <v>44.5</v>
      </c>
      <c r="E5" s="28">
        <f>IFERROR(SUMIFS(Data!F$3:F$97,Data!$A$3:$A$97,$A5,Data!$B$3:$B$97,2024),"n/a")</f>
        <v>0.7</v>
      </c>
      <c r="F5" s="29">
        <f>IFERROR(SUMIFS(Data!G$3:G$97,Data!$A$3:$A$97,$A5,Data!$B$3:$B$97,2024),"n/a")</f>
        <v>3.24</v>
      </c>
      <c r="G5" s="30">
        <f>IFERROR(SUMIFS(Data!H$3:H$97,Data!$A$3:$A$97,$A5,Data!$B$3:$B$97,2023),"n/a")</f>
        <v>19806.45</v>
      </c>
      <c r="H5" s="30">
        <f>IFERROR(SUMIFS(Data!I$3:I$97,Data!$A$3:$A$97,$A5,Data!$B$3:$B$97,2023),"n/a")</f>
        <v>33084.97</v>
      </c>
      <c r="I5" s="30">
        <f>IFERROR(SUMIFS(Data!J$3:J$97,Data!$A$3:$A$97,$A5,Data!$B$3:$B$97,2023),"n/a")</f>
        <v>3189.39</v>
      </c>
      <c r="J5" s="28">
        <f>IFERROR(SUMIFS(Data!K$3:K$97,Data!$A$3:$A$97,$A5,Data!$B$3:$B$97,2023),"n/a")</f>
        <v>52.56</v>
      </c>
    </row>
    <row r="6" spans="1:10" x14ac:dyDescent="0.3">
      <c r="A6" s="24" t="s">
        <v>41</v>
      </c>
      <c r="B6" s="26">
        <f>IFERROR(SUMIFS(Data!C$3:C$97,Data!$A$3:$A$97,$A6,Data!$B$3:$B$97,2023),"n/a")</f>
        <v>2.61</v>
      </c>
      <c r="C6" s="27">
        <f>IFERROR(SUMIFS(Data!D$3:D$97,Data!$A$3:$A$97,$A6,Data!$B$3:$B$97,2023),"n/a")</f>
        <v>65.989999999999995</v>
      </c>
      <c r="D6" s="27">
        <f>IFERROR(SUMIFS(Data!E$3:E$97,Data!$A$3:$A$97,$A6,Data!$B$3:$B$97,2023),"n/a")</f>
        <v>44.4</v>
      </c>
      <c r="E6" s="28">
        <f>IFERROR(SUMIFS(Data!F$3:F$97,Data!$A$3:$A$97,$A6,Data!$B$3:$B$97,2024),"n/a")</f>
        <v>0.9</v>
      </c>
      <c r="F6" s="29">
        <f>IFERROR(SUMIFS(Data!G$3:G$97,Data!$A$3:$A$97,$A6,Data!$B$3:$B$97,2024),"n/a")</f>
        <v>1.36</v>
      </c>
      <c r="G6" s="30">
        <f>IFERROR(SUMIFS(Data!H$3:H$97,Data!$A$3:$A$97,$A6,Data!$B$3:$B$97,2023),"n/a")</f>
        <v>226.7</v>
      </c>
      <c r="H6" s="30">
        <f>IFERROR(SUMIFS(Data!I$3:I$97,Data!$A$3:$A$97,$A6,Data!$B$3:$B$97,2023),"n/a")</f>
        <v>523.63</v>
      </c>
      <c r="I6" s="30">
        <f>IFERROR(SUMIFS(Data!J$3:J$97,Data!$A$3:$A$97,$A6,Data!$B$3:$B$97,2023),"n/a")</f>
        <v>53.57</v>
      </c>
      <c r="J6" s="28">
        <f>IFERROR(SUMIFS(Data!K$3:K$97,Data!$A$3:$A$97,$A6,Data!$B$3:$B$97,2023),"n/a")</f>
        <v>21.45</v>
      </c>
    </row>
    <row r="7" spans="1:10" x14ac:dyDescent="0.3">
      <c r="A7" s="24" t="s">
        <v>42</v>
      </c>
      <c r="B7" s="26">
        <f>IFERROR(SUMIFS(Data!C$3:C$97,Data!$A$3:$A$97,$A7,Data!$B$3:$B$97,2023),"n/a")</f>
        <v>3.71</v>
      </c>
      <c r="C7" s="27">
        <f>IFERROR(SUMIFS(Data!D$3:D$97,Data!$A$3:$A$97,$A7,Data!$B$3:$B$97,2023),"n/a")</f>
        <v>68.62</v>
      </c>
      <c r="D7" s="27">
        <f>IFERROR(SUMIFS(Data!E$3:E$97,Data!$A$3:$A$97,$A7,Data!$B$3:$B$97,2023),"n/a")</f>
        <v>25.5</v>
      </c>
      <c r="E7" s="28">
        <f>IFERROR(SUMIFS(Data!F$3:F$97,Data!$A$3:$A$97,$A7,Data!$B$3:$B$97,2024),"n/a")</f>
        <v>0.4</v>
      </c>
      <c r="F7" s="29">
        <f>IFERROR(SUMIFS(Data!G$3:G$97,Data!$A$3:$A$97,$A7,Data!$B$3:$B$97,2024),"n/a")</f>
        <v>1.86</v>
      </c>
      <c r="G7" s="30">
        <f>IFERROR(SUMIFS(Data!H$3:H$97,Data!$A$3:$A$97,$A7,Data!$B$3:$B$97,2023),"n/a")</f>
        <v>760.38</v>
      </c>
      <c r="H7" s="30">
        <f>IFERROR(SUMIFS(Data!I$3:I$97,Data!$A$3:$A$97,$A7,Data!$B$3:$B$97,2023),"n/a")</f>
        <v>1197.5999999999999</v>
      </c>
      <c r="I7" s="30">
        <f>IFERROR(SUMIFS(Data!J$3:J$97,Data!$A$3:$A$97,$A7,Data!$B$3:$B$97,2023),"n/a")</f>
        <v>141.93</v>
      </c>
      <c r="J7" s="28">
        <f>IFERROR(SUMIFS(Data!K$3:K$97,Data!$A$3:$A$97,$A7,Data!$B$3:$B$97,2023),"n/a")</f>
        <v>56.73</v>
      </c>
    </row>
    <row r="8" spans="1:10" x14ac:dyDescent="0.3">
      <c r="A8" s="24" t="s">
        <v>43</v>
      </c>
      <c r="B8" s="26">
        <f>IFERROR(SUMIFS(Data!C$3:C$97,Data!$A$3:$A$97,$A8,Data!$B$3:$B$97,2023),"n/a")</f>
        <v>3.99</v>
      </c>
      <c r="C8" s="27">
        <f>IFERROR(SUMIFS(Data!D$3:D$97,Data!$A$3:$A$97,$A8,Data!$B$3:$B$97,2023),"n/a")</f>
        <v>67.31</v>
      </c>
      <c r="D8" s="27">
        <f>IFERROR(SUMIFS(Data!E$3:E$97,Data!$A$3:$A$97,$A8,Data!$B$3:$B$97,2023),"n/a")</f>
        <v>35.700000000000003</v>
      </c>
      <c r="E8" s="28">
        <f>IFERROR(SUMIFS(Data!F$3:F$97,Data!$A$3:$A$97,$A8,Data!$B$3:$B$97,2024),"n/a")</f>
        <v>0.7</v>
      </c>
      <c r="F8" s="29">
        <f>IFERROR(SUMIFS(Data!G$3:G$97,Data!$A$3:$A$97,$A8,Data!$B$3:$B$97,2024),"n/a")</f>
        <v>2.58</v>
      </c>
      <c r="G8" s="30">
        <f>IFERROR(SUMIFS(Data!H$3:H$97,Data!$A$3:$A$97,$A8,Data!$B$3:$B$97,2023),"n/a")</f>
        <v>26961.07</v>
      </c>
      <c r="H8" s="30">
        <f>IFERROR(SUMIFS(Data!I$3:I$97,Data!$A$3:$A$97,$A8,Data!$B$3:$B$97,2023),"n/a")</f>
        <v>45858.2</v>
      </c>
      <c r="I8" s="30">
        <f>IFERROR(SUMIFS(Data!J$3:J$97,Data!$A$3:$A$97,$A8,Data!$B$3:$B$97,2023),"n/a")</f>
        <v>3994.02</v>
      </c>
      <c r="J8" s="28">
        <f>IFERROR(SUMIFS(Data!K$3:K$97,Data!$A$3:$A$97,$A8,Data!$B$3:$B$97,2023),"n/a")</f>
        <v>76.84</v>
      </c>
    </row>
    <row r="9" spans="1:10" x14ac:dyDescent="0.3">
      <c r="A9" s="24" t="s">
        <v>44</v>
      </c>
      <c r="B9" s="26">
        <f>IFERROR(SUMIFS(Data!C$3:C$97,Data!$A$3:$A$97,$A9,Data!$B$3:$B$97,2023),"n/a")</f>
        <v>3.21</v>
      </c>
      <c r="C9" s="27">
        <f>IFERROR(SUMIFS(Data!D$3:D$97,Data!$A$3:$A$97,$A9,Data!$B$3:$B$97,2023),"n/a")</f>
        <v>63.65</v>
      </c>
      <c r="D9" s="27">
        <f>IFERROR(SUMIFS(Data!E$3:E$97,Data!$A$3:$A$97,$A9,Data!$B$3:$B$97,2023),"n/a")</f>
        <v>34.700000000000003</v>
      </c>
      <c r="E9" s="28">
        <f>IFERROR(SUMIFS(Data!F$3:F$97,Data!$A$3:$A$97,$A9,Data!$B$3:$B$97,2024),"n/a")</f>
        <v>3</v>
      </c>
      <c r="F9" s="29">
        <f>IFERROR(SUMIFS(Data!G$3:G$97,Data!$A$3:$A$97,$A9,Data!$B$3:$B$97,2024),"n/a")</f>
        <v>1.96</v>
      </c>
      <c r="G9" s="30">
        <f>IFERROR(SUMIFS(Data!H$3:H$97,Data!$A$3:$A$97,$A9,Data!$B$3:$B$97,2023),"n/a")</f>
        <v>11568.02</v>
      </c>
      <c r="H9" s="30">
        <f>IFERROR(SUMIFS(Data!I$3:I$97,Data!$A$3:$A$97,$A9,Data!$B$3:$B$97,2023),"n/a")</f>
        <v>20952.310000000001</v>
      </c>
      <c r="I9" s="30">
        <f>IFERROR(SUMIFS(Data!J$3:J$97,Data!$A$3:$A$97,$A9,Data!$B$3:$B$97,2023),"n/a")</f>
        <v>1581.23</v>
      </c>
      <c r="J9" s="28">
        <f>IFERROR(SUMIFS(Data!K$3:K$97,Data!$A$3:$A$97,$A9,Data!$B$3:$B$97,2023),"n/a")</f>
        <v>70.48</v>
      </c>
    </row>
    <row r="10" spans="1:10" x14ac:dyDescent="0.3">
      <c r="A10" s="24" t="s">
        <v>45</v>
      </c>
      <c r="B10" s="26">
        <f>IFERROR(SUMIFS(Data!C$3:C$97,Data!$A$3:$A$97,$A10,Data!$B$3:$B$97,2023),"n/a")</f>
        <v>3.97</v>
      </c>
      <c r="C10" s="27">
        <f>IFERROR(SUMIFS(Data!D$3:D$97,Data!$A$3:$A$97,$A10,Data!$B$3:$B$97,2023),"n/a")</f>
        <v>63.63</v>
      </c>
      <c r="D10" s="27">
        <f>IFERROR(SUMIFS(Data!E$3:E$97,Data!$A$3:$A$97,$A10,Data!$B$3:$B$97,2023),"n/a")</f>
        <v>44.2</v>
      </c>
      <c r="E10" s="28">
        <f>IFERROR(SUMIFS(Data!F$3:F$97,Data!$A$3:$A$97,$A10,Data!$B$3:$B$97,2024),"n/a")</f>
        <v>0.5</v>
      </c>
      <c r="F10" s="29">
        <f>IFERROR(SUMIFS(Data!G$3:G$97,Data!$A$3:$A$97,$A10,Data!$B$3:$B$97,2024),"n/a")</f>
        <v>2.44</v>
      </c>
      <c r="G10" s="30">
        <f>IFERROR(SUMIFS(Data!H$3:H$97,Data!$A$3:$A$97,$A10,Data!$B$3:$B$97,2023),"n/a")</f>
        <v>6270.33</v>
      </c>
      <c r="H10" s="30">
        <f>IFERROR(SUMIFS(Data!I$3:I$97,Data!$A$3:$A$97,$A10,Data!$B$3:$B$97,2023),"n/a")</f>
        <v>11285.24</v>
      </c>
      <c r="I10" s="30">
        <f>IFERROR(SUMIFS(Data!J$3:J$97,Data!$A$3:$A$97,$A10,Data!$B$3:$B$97,2023),"n/a")</f>
        <v>1016.6</v>
      </c>
      <c r="J10" s="28">
        <f>IFERROR(SUMIFS(Data!K$3:K$97,Data!$A$3:$A$97,$A10,Data!$B$3:$B$97,2023),"n/a")</f>
        <v>59.44</v>
      </c>
    </row>
    <row r="11" spans="1:10" x14ac:dyDescent="0.3">
      <c r="A11" s="24" t="s">
        <v>46</v>
      </c>
      <c r="B11" s="26">
        <f>IFERROR(SUMIFS(Data!C$3:C$97,Data!$A$3:$A$97,$A11,Data!$B$3:$B$97,2023),"n/a")</f>
        <v>3.65</v>
      </c>
      <c r="C11" s="27">
        <f>IFERROR(SUMIFS(Data!D$3:D$97,Data!$A$3:$A$97,$A11,Data!$B$3:$B$97,2023),"n/a")</f>
        <v>67.349999999999994</v>
      </c>
      <c r="D11" s="27">
        <f>IFERROR(SUMIFS(Data!E$3:E$97,Data!$A$3:$A$97,$A11,Data!$B$3:$B$97,2023),"n/a")</f>
        <v>29.4</v>
      </c>
      <c r="E11" s="28">
        <f>IFERROR(SUMIFS(Data!F$3:F$97,Data!$A$3:$A$97,$A11,Data!$B$3:$B$97,2024),"n/a")</f>
        <v>6.2</v>
      </c>
      <c r="F11" s="29">
        <f>IFERROR(SUMIFS(Data!G$3:G$97,Data!$A$3:$A$97,$A11,Data!$B$3:$B$97,2024),"n/a")</f>
        <v>2.58</v>
      </c>
      <c r="G11" s="30">
        <f>IFERROR(SUMIFS(Data!H$3:H$97,Data!$A$3:$A$97,$A11,Data!$B$3:$B$97,2023),"n/a")</f>
        <v>4462.43</v>
      </c>
      <c r="H11" s="30">
        <f>IFERROR(SUMIFS(Data!I$3:I$97,Data!$A$3:$A$97,$A11,Data!$B$3:$B$97,2023),"n/a")</f>
        <v>7156.29</v>
      </c>
      <c r="I11" s="30">
        <f>IFERROR(SUMIFS(Data!J$3:J$97,Data!$A$3:$A$97,$A11,Data!$B$3:$B$97,2023),"n/a")</f>
        <v>541.28</v>
      </c>
      <c r="J11" s="28">
        <f>IFERROR(SUMIFS(Data!K$3:K$97,Data!$A$3:$A$97,$A11,Data!$B$3:$B$97,2023),"n/a")</f>
        <v>81.72</v>
      </c>
    </row>
    <row r="12" spans="1:10" x14ac:dyDescent="0.3">
      <c r="A12" s="24" t="s">
        <v>47</v>
      </c>
      <c r="B12" s="26">
        <f>IFERROR(SUMIFS(Data!C$3:C$97,Data!$A$3:$A$97,$A12,Data!$B$3:$B$97,2023),"n/a")</f>
        <v>1.39</v>
      </c>
      <c r="C12" s="27">
        <f>IFERROR(SUMIFS(Data!D$3:D$97,Data!$A$3:$A$97,$A12,Data!$B$3:$B$97,2023),"n/a")</f>
        <v>73.41</v>
      </c>
      <c r="D12" s="27">
        <f>IFERROR(SUMIFS(Data!E$3:E$97,Data!$A$3:$A$97,$A12,Data!$B$3:$B$97,2023),"n/a")</f>
        <v>13.5</v>
      </c>
      <c r="E12" s="31" t="s">
        <v>57</v>
      </c>
      <c r="F12" s="29">
        <f>IFERROR(SUMIFS(Data!G$3:G$97,Data!$A$3:$A$97,$A12,Data!$B$3:$B$97,2024),"n/a")</f>
        <v>-0.12</v>
      </c>
      <c r="G12" s="30">
        <f>IFERROR(SUMIFS(Data!H$3:H$97,Data!$A$3:$A$97,$A12,Data!$B$3:$B$97,2023),"n/a")</f>
        <v>185.4</v>
      </c>
      <c r="H12" s="30">
        <f>IFERROR(SUMIFS(Data!I$3:I$97,Data!$A$3:$A$97,$A12,Data!$B$3:$B$97,2023),"n/a")</f>
        <v>733.16</v>
      </c>
      <c r="I12" s="30">
        <f>IFERROR(SUMIFS(Data!J$3:J$97,Data!$A$3:$A$97,$A12,Data!$B$3:$B$97,2023),"n/a")</f>
        <v>161.22</v>
      </c>
      <c r="J12" s="28">
        <f>IFERROR(SUMIFS(Data!K$3:K$97,Data!$A$3:$A$97,$A12,Data!$B$3:$B$97,2023),"n/a")</f>
        <v>59.13</v>
      </c>
    </row>
    <row r="13" spans="1:10" x14ac:dyDescent="0.3">
      <c r="A13" s="24" t="s">
        <v>48</v>
      </c>
      <c r="B13" s="26">
        <f>IFERROR(SUMIFS(Data!C$3:C$97,Data!$A$3:$A$97,$A13,Data!$B$3:$B$97,2023),"n/a")</f>
        <v>4.76</v>
      </c>
      <c r="C13" s="27">
        <f>IFERROR(SUMIFS(Data!D$3:D$97,Data!$A$3:$A$97,$A13,Data!$B$3:$B$97,2023),"n/a")</f>
        <v>63.61</v>
      </c>
      <c r="D13" s="27">
        <f>IFERROR(SUMIFS(Data!E$3:E$97,Data!$A$3:$A$97,$A13,Data!$B$3:$B$97,2023),"n/a")</f>
        <v>45.4</v>
      </c>
      <c r="E13" s="28">
        <f>IFERROR(SUMIFS(Data!F$3:F$97,Data!$A$3:$A$97,$A13,Data!$B$3:$B$97,2024),"n/a")</f>
        <v>11.5</v>
      </c>
      <c r="F13" s="29">
        <f>IFERROR(SUMIFS(Data!G$3:G$97,Data!$A$3:$A$97,$A13,Data!$B$3:$B$97,2024),"n/a")</f>
        <v>2.92</v>
      </c>
      <c r="G13" s="30">
        <f>IFERROR(SUMIFS(Data!H$3:H$97,Data!$A$3:$A$97,$A13,Data!$B$3:$B$97,2023),"n/a")</f>
        <v>6676.51</v>
      </c>
      <c r="H13" s="30">
        <f>IFERROR(SUMIFS(Data!I$3:I$97,Data!$A$3:$A$97,$A13,Data!$B$3:$B$97,2023),"n/a")</f>
        <v>10673.34</v>
      </c>
      <c r="I13" s="30">
        <f>IFERROR(SUMIFS(Data!J$3:J$97,Data!$A$3:$A$97,$A13,Data!$B$3:$B$97,2023),"n/a")</f>
        <v>918.4</v>
      </c>
      <c r="J13" s="28">
        <f>IFERROR(SUMIFS(Data!K$3:K$97,Data!$A$3:$A$97,$A13,Data!$B$3:$B$97,2023),"n/a")</f>
        <v>61.25</v>
      </c>
    </row>
    <row r="14" spans="1:10" x14ac:dyDescent="0.3">
      <c r="A14" s="24" t="s">
        <v>49</v>
      </c>
      <c r="B14" s="26">
        <f>IFERROR(SUMIFS(Data!C$3:C$97,Data!$A$3:$A$97,$A14,Data!$B$3:$B$97,2023),"n/a")</f>
        <v>3.7</v>
      </c>
      <c r="C14" s="27">
        <f>IFERROR(SUMIFS(Data!D$3:D$97,Data!$A$3:$A$97,$A14,Data!$B$3:$B$97,2023),"n/a")</f>
        <v>67.78</v>
      </c>
      <c r="D14" s="27">
        <f>IFERROR(SUMIFS(Data!E$3:E$97,Data!$A$3:$A$97,$A14,Data!$B$3:$B$97,2023),"n/a")</f>
        <v>30.5</v>
      </c>
      <c r="E14" s="28">
        <f>IFERROR(SUMIFS(Data!F$3:F$97,Data!$A$3:$A$97,$A14,Data!$B$3:$B$97,2024),"n/a")</f>
        <v>2</v>
      </c>
      <c r="F14" s="29">
        <f>IFERROR(SUMIFS(Data!G$3:G$97,Data!$A$3:$A$97,$A14,Data!$B$3:$B$97,2024),"n/a")</f>
        <v>2.14</v>
      </c>
      <c r="G14" s="30">
        <f>IFERROR(SUMIFS(Data!H$3:H$97,Data!$A$3:$A$97,$A14,Data!$B$3:$B$97,2023),"n/a")</f>
        <v>2830.47</v>
      </c>
      <c r="H14" s="32" t="s">
        <v>57</v>
      </c>
      <c r="I14" s="30">
        <f>IFERROR(SUMIFS(Data!J$3:J$97,Data!$A$3:$A$97,$A14,Data!$B$3:$B$97,2023),"n/a")</f>
        <v>520.17999999999995</v>
      </c>
      <c r="J14" s="28">
        <f>IFERROR(SUMIFS(Data!K$3:K$97,Data!$A$3:$A$97,$A14,Data!$B$3:$B$97,2023),"n/a")</f>
        <v>82.11</v>
      </c>
    </row>
    <row r="15" spans="1:10" x14ac:dyDescent="0.3">
      <c r="A15" s="24" t="s">
        <v>50</v>
      </c>
      <c r="B15" s="26">
        <f>IFERROR(SUMIFS(Data!C$3:C$97,Data!$A$3:$A$97,$A15,Data!$B$3:$B$97,2023),"n/a")</f>
        <v>2.02</v>
      </c>
      <c r="C15" s="27">
        <f>IFERROR(SUMIFS(Data!D$3:D$97,Data!$A$3:$A$97,$A15,Data!$B$3:$B$97,2023),"n/a")</f>
        <v>74.959999999999994</v>
      </c>
      <c r="D15" s="27">
        <f>IFERROR(SUMIFS(Data!E$3:E$97,Data!$A$3:$A$97,$A15,Data!$B$3:$B$97,2023),"n/a")</f>
        <v>13.1</v>
      </c>
      <c r="E15" s="31" t="s">
        <v>57</v>
      </c>
      <c r="F15" s="29">
        <f>IFERROR(SUMIFS(Data!G$3:G$97,Data!$A$3:$A$97,$A15,Data!$B$3:$B$97,2024),"n/a")</f>
        <v>1.31</v>
      </c>
      <c r="G15" s="30">
        <f>IFERROR(SUMIFS(Data!H$3:H$97,Data!$A$3:$A$97,$A15,Data!$B$3:$B$97,2023),"n/a")</f>
        <v>16.190000000000001</v>
      </c>
      <c r="H15" s="32" t="s">
        <v>57</v>
      </c>
      <c r="I15" s="30">
        <f>IFERROR(SUMIFS(Data!J$3:J$97,Data!$A$3:$A$97,$A15,Data!$B$3:$B$97,2023),"n/a")</f>
        <v>10.41</v>
      </c>
      <c r="J15" s="28">
        <f>IFERROR(SUMIFS(Data!K$3:K$97,Data!$A$3:$A$97,$A15,Data!$B$3:$B$97,2023),"n/a")</f>
        <v>41.18</v>
      </c>
    </row>
    <row r="16" spans="1:10" x14ac:dyDescent="0.3">
      <c r="A16" s="24" t="s">
        <v>51</v>
      </c>
      <c r="B16" s="26">
        <f>IFERROR(SUMIFS(Data!C$3:C$97,Data!$A$3:$A$97,$A16,Data!$B$3:$B$97,2023),"n/a")</f>
        <v>6.13</v>
      </c>
      <c r="C16" s="27">
        <f>IFERROR(SUMIFS(Data!D$3:D$97,Data!$A$3:$A$97,$A16,Data!$B$3:$B$97,2023),"n/a")</f>
        <v>58.82</v>
      </c>
      <c r="D16" s="27">
        <f>IFERROR(SUMIFS(Data!E$3:E$97,Data!$A$3:$A$97,$A16,Data!$B$3:$B$97,2023),"n/a")</f>
        <v>67.8</v>
      </c>
      <c r="E16" s="28">
        <f>IFERROR(SUMIFS(Data!F$3:F$97,Data!$A$3:$A$97,$A16,Data!$B$3:$B$97,2024),"n/a")</f>
        <v>0.1</v>
      </c>
      <c r="F16" s="29">
        <f>IFERROR(SUMIFS(Data!G$3:G$97,Data!$A$3:$A$97,$A16,Data!$B$3:$B$97,2024),"n/a")</f>
        <v>3.48</v>
      </c>
      <c r="G16" s="30">
        <f>IFERROR(SUMIFS(Data!H$3:H$97,Data!$A$3:$A$97,$A16,Data!$B$3:$B$97,2023),"n/a")</f>
        <v>3628.7</v>
      </c>
      <c r="H16" s="32" t="s">
        <v>57</v>
      </c>
      <c r="I16" s="30">
        <f>IFERROR(SUMIFS(Data!J$3:J$97,Data!$A$3:$A$97,$A16,Data!$B$3:$B$97,2023),"n/a")</f>
        <v>459.98</v>
      </c>
      <c r="J16" s="28">
        <f>IFERROR(SUMIFS(Data!K$3:K$97,Data!$A$3:$A$97,$A16,Data!$B$3:$B$97,2023),"n/a")</f>
        <v>52.08</v>
      </c>
    </row>
    <row r="17" spans="1:10" x14ac:dyDescent="0.3">
      <c r="A17" s="24" t="s">
        <v>52</v>
      </c>
      <c r="B17" s="26">
        <f>IFERROR(SUMIFS(Data!C$3:C$97,Data!$A$3:$A$97,$A17,Data!$B$3:$B$97,2023),"n/a")</f>
        <v>3.86</v>
      </c>
      <c r="C17" s="27">
        <f>IFERROR(SUMIFS(Data!D$3:D$97,Data!$A$3:$A$97,$A17,Data!$B$3:$B$97,2023),"n/a")</f>
        <v>57.62</v>
      </c>
      <c r="D17" s="27">
        <f>IFERROR(SUMIFS(Data!E$3:E$97,Data!$A$3:$A$97,$A17,Data!$B$3:$B$97,2023),"n/a")</f>
        <v>72.599999999999994</v>
      </c>
      <c r="E17" s="28">
        <f>IFERROR(SUMIFS(Data!F$3:F$97,Data!$A$3:$A$97,$A17,Data!$B$3:$B$97,2024),"n/a")</f>
        <v>1.5</v>
      </c>
      <c r="F17" s="29">
        <f>IFERROR(SUMIFS(Data!G$3:G$97,Data!$A$3:$A$97,$A17,Data!$B$3:$B$97,2024),"n/a")</f>
        <v>3.93</v>
      </c>
      <c r="G17" s="30">
        <f>IFERROR(SUMIFS(Data!H$3:H$97,Data!$A$3:$A$97,$A17,Data!$B$3:$B$97,2023),"n/a")</f>
        <v>2443.3000000000002</v>
      </c>
      <c r="H17" s="32" t="s">
        <v>57</v>
      </c>
      <c r="I17" s="30">
        <f>IFERROR(SUMIFS(Data!J$3:J$97,Data!$A$3:$A$97,$A17,Data!$B$3:$B$97,2023),"n/a")</f>
        <v>320.22000000000003</v>
      </c>
      <c r="J17" s="28">
        <f>IFERROR(SUMIFS(Data!K$3:K$97,Data!$A$3:$A$97,$A17,Data!$B$3:$B$97,2023),"n/a")</f>
        <v>78.81</v>
      </c>
    </row>
    <row r="18" spans="1:10" x14ac:dyDescent="0.3">
      <c r="A18" s="24" t="s">
        <v>53</v>
      </c>
      <c r="B18" s="26">
        <f>IFERROR(SUMIFS(Data!C$3:C$97,Data!$A$3:$A$97,$A18,Data!$B$3:$B$97,2023),"n/a")</f>
        <v>4.28</v>
      </c>
      <c r="C18" s="27">
        <f>IFERROR(SUMIFS(Data!D$3:D$97,Data!$A$3:$A$97,$A18,Data!$B$3:$B$97,2023),"n/a")</f>
        <v>68.25</v>
      </c>
      <c r="D18" s="27">
        <f>IFERROR(SUMIFS(Data!E$3:E$97,Data!$A$3:$A$97,$A18,Data!$B$3:$B$97,2023),"n/a")</f>
        <v>27.6</v>
      </c>
      <c r="E18" s="28">
        <f>IFERROR(SUMIFS(Data!F$3:F$97,Data!$A$3:$A$97,$A18,Data!$B$3:$B$97,2024),"n/a")</f>
        <v>4.9000000000000004</v>
      </c>
      <c r="F18" s="29">
        <f>IFERROR(SUMIFS(Data!G$3:G$97,Data!$A$3:$A$97,$A18,Data!$B$3:$B$97,2024),"n/a")</f>
        <v>2.75</v>
      </c>
      <c r="G18" s="30">
        <f>IFERROR(SUMIFS(Data!H$3:H$97,Data!$A$3:$A$97,$A18,Data!$B$3:$B$97,2023),"n/a")</f>
        <v>10472.6</v>
      </c>
      <c r="H18" s="32" t="s">
        <v>57</v>
      </c>
      <c r="I18" s="30">
        <f>IFERROR(SUMIFS(Data!J$3:J$97,Data!$A$3:$A$97,$A18,Data!$B$3:$B$97,2023),"n/a")</f>
        <v>1022.87</v>
      </c>
      <c r="J18" s="28">
        <f>IFERROR(SUMIFS(Data!K$3:K$97,Data!$A$3:$A$97,$A18,Data!$B$3:$B$97,2023),"n/a")</f>
        <v>73.23</v>
      </c>
    </row>
    <row r="19" spans="1:10" x14ac:dyDescent="0.3">
      <c r="A19" s="24" t="s">
        <v>54</v>
      </c>
      <c r="B19" s="26">
        <f>IFERROR(SUMIFS(Data!C$3:C$97,Data!$A$3:$A$97,$A19,Data!$B$3:$B$97,2023),"n/a")</f>
        <v>4.6100000000000003</v>
      </c>
      <c r="C19" s="27">
        <f>IFERROR(SUMIFS(Data!D$3:D$97,Data!$A$3:$A$97,$A19,Data!$B$3:$B$97,2023),"n/a")</f>
        <v>67</v>
      </c>
      <c r="D19" s="27">
        <f>IFERROR(SUMIFS(Data!E$3:E$97,Data!$A$3:$A$97,$A19,Data!$B$3:$B$97,2023),"n/a")</f>
        <v>29.9</v>
      </c>
      <c r="E19" s="28">
        <f>IFERROR(SUMIFS(Data!F$3:F$97,Data!$A$3:$A$97,$A19,Data!$B$3:$B$97,2024),"n/a")</f>
        <v>3.5</v>
      </c>
      <c r="F19" s="29">
        <f>IFERROR(SUMIFS(Data!G$3:G$97,Data!$A$3:$A$97,$A19,Data!$B$3:$B$97,2024),"n/a")</f>
        <v>2.87</v>
      </c>
      <c r="G19" s="30">
        <f>IFERROR(SUMIFS(Data!H$3:H$97,Data!$A$3:$A$97,$A19,Data!$B$3:$B$97,2023),"n/a")</f>
        <v>13302.56</v>
      </c>
      <c r="H19" s="32" t="s">
        <v>57</v>
      </c>
      <c r="I19" s="30">
        <f>IFERROR(SUMIFS(Data!J$3:J$97,Data!$A$3:$A$97,$A19,Data!$B$3:$B$97,2023),"n/a")</f>
        <v>1996.28</v>
      </c>
      <c r="J19" s="28">
        <f>IFERROR(SUMIFS(Data!K$3:K$97,Data!$A$3:$A$97,$A19,Data!$B$3:$B$97,2023),"n/a")</f>
        <v>62.59</v>
      </c>
    </row>
    <row r="20" spans="1:10" x14ac:dyDescent="0.3">
      <c r="A20" s="24" t="s">
        <v>55</v>
      </c>
      <c r="B20" s="26">
        <f>IFERROR(SUMIFS(Data!C$3:C$97,Data!$A$3:$A$97,$A20,Data!$B$3:$B$97,2023),"n/a")</f>
        <v>4.0999999999999996</v>
      </c>
      <c r="C20" s="27">
        <f>IFERROR(SUMIFS(Data!D$3:D$97,Data!$A$3:$A$97,$A20,Data!$B$3:$B$97,2023),"n/a")</f>
        <v>66.349999999999994</v>
      </c>
      <c r="D20" s="27">
        <f>IFERROR(SUMIFS(Data!E$3:E$97,Data!$A$3:$A$97,$A20,Data!$B$3:$B$97,2023),"n/a")</f>
        <v>30.9</v>
      </c>
      <c r="E20" s="28">
        <f>IFERROR(SUMIFS(Data!F$3:F$97,Data!$A$3:$A$97,$A20,Data!$B$3:$B$97,2024),"n/a")</f>
        <v>9.4</v>
      </c>
      <c r="F20" s="29">
        <f>IFERROR(SUMIFS(Data!G$3:G$97,Data!$A$3:$A$97,$A20,Data!$B$3:$B$97,2024),"n/a")</f>
        <v>2.81</v>
      </c>
      <c r="G20" s="30">
        <f>IFERROR(SUMIFS(Data!H$3:H$97,Data!$A$3:$A$97,$A20,Data!$B$3:$B$97,2023),"n/a")</f>
        <v>4198.53</v>
      </c>
      <c r="H20" s="32" t="s">
        <v>57</v>
      </c>
      <c r="I20" s="30">
        <f>IFERROR(SUMIFS(Data!J$3:J$97,Data!$A$3:$A$97,$A20,Data!$B$3:$B$97,2023),"n/a")</f>
        <v>383.31</v>
      </c>
      <c r="J20" s="28">
        <f>IFERROR(SUMIFS(Data!K$3:K$97,Data!$A$3:$A$97,$A20,Data!$B$3:$B$97,2023),"n/a")</f>
        <v>53.66</v>
      </c>
    </row>
    <row r="21" spans="1:10" x14ac:dyDescent="0.3">
      <c r="A21" s="24" t="s">
        <v>56</v>
      </c>
      <c r="B21" s="26">
        <f>IFERROR(SUMIFS(Data!C$3:C$97,Data!$A$3:$A$97,$A21,Data!$B$3:$B$97,2023),"n/a")</f>
        <v>3.72</v>
      </c>
      <c r="C21" s="27">
        <f>IFERROR(SUMIFS(Data!D$3:D$97,Data!$A$3:$A$97,$A21,Data!$B$3:$B$97,2023),"n/a")</f>
        <v>62.77</v>
      </c>
      <c r="D21" s="27">
        <f>IFERROR(SUMIFS(Data!E$3:E$97,Data!$A$3:$A$97,$A21,Data!$B$3:$B$97,2023),"n/a")</f>
        <v>40.6</v>
      </c>
      <c r="E21" s="28">
        <f>IFERROR(SUMIFS(Data!F$3:F$97,Data!$A$3:$A$97,$A21,Data!$B$3:$B$97,2024),"n/a")</f>
        <v>9.8000000000000007</v>
      </c>
      <c r="F21" s="29">
        <f>IFERROR(SUMIFS(Data!G$3:G$97,Data!$A$3:$A$97,$A21,Data!$B$3:$B$97,2024),"n/a")</f>
        <v>1.78</v>
      </c>
      <c r="G21" s="30">
        <f>IFERROR(SUMIFS(Data!H$3:H$97,Data!$A$3:$A$97,$A21,Data!$B$3:$B$97,2023),"n/a")</f>
        <v>3336.47</v>
      </c>
      <c r="H21" s="32" t="s">
        <v>57</v>
      </c>
      <c r="I21" s="30">
        <f>IFERROR(SUMIFS(Data!J$3:J$97,Data!$A$3:$A$97,$A21,Data!$B$3:$B$97,2023),"n/a")</f>
        <v>586.22</v>
      </c>
      <c r="J21" s="28">
        <f>IFERROR(SUMIFS(Data!K$3:K$97,Data!$A$3:$A$97,$A21,Data!$B$3:$B$97,2023),"n/a")</f>
        <v>67.48</v>
      </c>
    </row>
  </sheetData>
  <autoFilter ref="A2:J21" xr:uid="{00000000-0009-0000-0000-000002000000}"/>
  <mergeCells count="3">
    <mergeCell ref="A1:A2"/>
    <mergeCell ref="C1:E1"/>
    <mergeCell ref="F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Data</vt:lpstr>
      <vt:lpstr>2023 Latest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 KB</cp:lastModifiedBy>
  <cp:revision>0</cp:revision>
  <dcterms:created xsi:type="dcterms:W3CDTF">2026-09-04T11:13:12Z</dcterms:created>
  <dcterms:modified xsi:type="dcterms:W3CDTF">2026-09-04T13:12:28Z</dcterms:modified>
  <dc:language>en-US</dc:language>
</cp:coreProperties>
</file>